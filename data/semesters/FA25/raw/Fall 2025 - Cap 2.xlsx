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9"/>
  <workbookPr codeName="ThisWorkbook"/>
  <mc:AlternateContent xmlns:mc="http://schemas.openxmlformats.org/markup-compatibility/2006">
    <mc:Choice Requires="x15">
      <x15ac:absPath xmlns:x15ac="http://schemas.microsoft.com/office/spreadsheetml/2010/11/ac" url="https://fiudit-my.sharepoint.com/personal/sadjadi_fiu_edu/Documents/Senior Project/253-Fall 2025/"/>
    </mc:Choice>
  </mc:AlternateContent>
  <xr:revisionPtr revIDLastSave="5733" documentId="120_S{6812DCEA-2639-5552-9DDA-398C501932E1}" xr6:coauthVersionLast="47" xr6:coauthVersionMax="47" xr10:uidLastSave="{1FEF4A0B-E5D2-FF4D-B16D-19684B491E4E}"/>
  <bookViews>
    <workbookView xWindow="0" yWindow="0" windowWidth="38280" windowHeight="43200" xr2:uid="{00000000-000D-0000-FFFF-FFFF00000000}"/>
  </bookViews>
  <sheets>
    <sheet name="Teams" sheetId="52" r:id="rId1"/>
    <sheet name="Projects" sheetId="74" r:id="rId2"/>
    <sheet name="Prints" sheetId="75" r:id="rId3"/>
  </sheets>
  <definedNames>
    <definedName name="_xlnm._FilterDatabase" localSheetId="1" hidden="1">Projects!$H$81:$H$81</definedName>
    <definedName name="_xlnm._FilterDatabase" localSheetId="0"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98" i="75" l="1"/>
  <c r="I298" i="75"/>
  <c r="J296" i="75"/>
  <c r="I296" i="75"/>
  <c r="J297" i="75"/>
  <c r="I297" i="75"/>
  <c r="J294" i="75"/>
  <c r="I294" i="75"/>
  <c r="J293" i="75"/>
  <c r="I293" i="75"/>
  <c r="J292" i="75"/>
  <c r="I292" i="75"/>
  <c r="J291" i="75"/>
  <c r="I291" i="75"/>
  <c r="J290" i="75"/>
  <c r="I290" i="75"/>
  <c r="J288" i="75"/>
  <c r="I288" i="75"/>
  <c r="J287" i="75"/>
  <c r="I287" i="75"/>
  <c r="J285" i="75"/>
  <c r="I285" i="75"/>
  <c r="J284" i="75"/>
  <c r="I284" i="75"/>
  <c r="J286" i="75"/>
  <c r="I286" i="75"/>
  <c r="J282" i="75"/>
  <c r="I282" i="75"/>
  <c r="J281" i="75"/>
  <c r="I281" i="75"/>
  <c r="J280" i="75"/>
  <c r="I280" i="75"/>
  <c r="J278" i="75"/>
  <c r="I278" i="75"/>
  <c r="J279" i="75"/>
  <c r="I279" i="75"/>
  <c r="J276" i="75"/>
  <c r="I276" i="75"/>
  <c r="J275" i="75"/>
  <c r="I275" i="75"/>
  <c r="J273" i="75"/>
  <c r="I273" i="75"/>
  <c r="J274" i="75"/>
  <c r="I274" i="75"/>
  <c r="J270" i="75"/>
  <c r="I270" i="75"/>
  <c r="J269" i="75"/>
  <c r="I269" i="75"/>
  <c r="J268" i="75"/>
  <c r="I268" i="75"/>
  <c r="J271" i="75"/>
  <c r="I271" i="75"/>
  <c r="J266" i="75"/>
  <c r="I266" i="75"/>
  <c r="J265" i="75"/>
  <c r="I265" i="75"/>
  <c r="J263" i="75"/>
  <c r="I263" i="75"/>
  <c r="J262" i="75"/>
  <c r="I262" i="75"/>
  <c r="J264" i="75"/>
  <c r="I264" i="75"/>
  <c r="J260" i="75"/>
  <c r="I260" i="75"/>
  <c r="J259" i="75"/>
  <c r="I259" i="75"/>
  <c r="J257" i="75"/>
  <c r="I257" i="75"/>
  <c r="J258" i="75"/>
  <c r="I258" i="75"/>
  <c r="J255" i="75"/>
  <c r="I255" i="75"/>
  <c r="J254" i="75"/>
  <c r="I254" i="75"/>
  <c r="J252" i="75"/>
  <c r="I252" i="75"/>
  <c r="J251" i="75"/>
  <c r="I251" i="75"/>
  <c r="J253" i="75"/>
  <c r="I253" i="75"/>
  <c r="J249" i="75"/>
  <c r="I249" i="75"/>
  <c r="J248" i="75"/>
  <c r="I248" i="75"/>
  <c r="J247" i="75"/>
  <c r="I247" i="75"/>
  <c r="J245" i="75"/>
  <c r="I245" i="75"/>
  <c r="J246" i="75"/>
  <c r="I246" i="75"/>
  <c r="J243" i="75"/>
  <c r="I243" i="75"/>
  <c r="J241" i="75"/>
  <c r="I241" i="75"/>
  <c r="J242" i="75"/>
  <c r="I242" i="75"/>
  <c r="J115" i="75"/>
  <c r="I115" i="75"/>
  <c r="J116" i="75"/>
  <c r="I116" i="75"/>
  <c r="J239" i="75"/>
  <c r="I239" i="75"/>
  <c r="J237" i="75"/>
  <c r="I237" i="75"/>
  <c r="J236" i="75"/>
  <c r="I236" i="75"/>
  <c r="J238" i="75"/>
  <c r="I238" i="75"/>
  <c r="J234" i="75"/>
  <c r="I234" i="75"/>
  <c r="J233" i="75"/>
  <c r="I233" i="75"/>
  <c r="J232" i="75"/>
  <c r="I232" i="75"/>
  <c r="J230" i="75"/>
  <c r="I230" i="75"/>
  <c r="J231" i="75"/>
  <c r="I231" i="75"/>
  <c r="J228" i="75"/>
  <c r="I228" i="75"/>
  <c r="J226" i="75"/>
  <c r="I226" i="75"/>
  <c r="J225" i="75"/>
  <c r="I225" i="75"/>
  <c r="J224" i="75"/>
  <c r="I224" i="75"/>
  <c r="J227" i="75"/>
  <c r="I227" i="75"/>
  <c r="J222" i="75"/>
  <c r="I222" i="75"/>
  <c r="J221" i="75"/>
  <c r="I221" i="75"/>
  <c r="J219" i="75"/>
  <c r="I219" i="75"/>
  <c r="J218" i="75"/>
  <c r="I218" i="75"/>
  <c r="J220" i="75"/>
  <c r="I220" i="75"/>
  <c r="J216" i="75"/>
  <c r="I216" i="75"/>
  <c r="J215" i="75"/>
  <c r="I215" i="75"/>
  <c r="J214" i="75"/>
  <c r="I214" i="75"/>
  <c r="J212" i="75"/>
  <c r="I212" i="75"/>
  <c r="J213" i="75"/>
  <c r="I213" i="75"/>
  <c r="J210" i="75"/>
  <c r="I210" i="75"/>
  <c r="J209" i="75"/>
  <c r="I209" i="75"/>
  <c r="J208" i="75"/>
  <c r="I208" i="75"/>
  <c r="J206" i="75"/>
  <c r="I206" i="75"/>
  <c r="J207" i="75"/>
  <c r="I207" i="75"/>
  <c r="J204" i="75"/>
  <c r="I204" i="75"/>
  <c r="J203" i="75"/>
  <c r="I203" i="75"/>
  <c r="J201" i="75"/>
  <c r="I201" i="75"/>
  <c r="J200" i="75"/>
  <c r="I200" i="75"/>
  <c r="J202" i="75"/>
  <c r="I202" i="75"/>
  <c r="J198" i="75"/>
  <c r="I198" i="75"/>
  <c r="J197" i="75"/>
  <c r="I197" i="75"/>
  <c r="J196" i="75"/>
  <c r="I196" i="75"/>
  <c r="J194" i="75"/>
  <c r="I194" i="75"/>
  <c r="J195" i="75"/>
  <c r="I195" i="75"/>
  <c r="J192" i="75"/>
  <c r="I192" i="75"/>
  <c r="J190" i="75"/>
  <c r="I190" i="75"/>
  <c r="J189" i="75"/>
  <c r="I189" i="75"/>
  <c r="J188" i="75"/>
  <c r="I188" i="75"/>
  <c r="J191" i="75"/>
  <c r="I191" i="75"/>
  <c r="J301" i="75"/>
  <c r="I301" i="75"/>
  <c r="J300" i="75"/>
  <c r="I300" i="75"/>
  <c r="J299" i="75"/>
  <c r="I299" i="75"/>
  <c r="J186" i="75"/>
  <c r="I186" i="75"/>
  <c r="J185" i="75"/>
  <c r="I185" i="75"/>
  <c r="J184" i="75"/>
  <c r="I184" i="75"/>
  <c r="J183" i="75"/>
  <c r="I183" i="75"/>
  <c r="J182" i="75"/>
  <c r="I182" i="75"/>
  <c r="J302" i="75"/>
  <c r="I302" i="75"/>
  <c r="J180" i="75"/>
  <c r="I180" i="75"/>
  <c r="J178" i="75"/>
  <c r="I178" i="75"/>
  <c r="J179" i="75"/>
  <c r="I179" i="75"/>
  <c r="J176" i="75"/>
  <c r="I176" i="75"/>
  <c r="J175" i="75"/>
  <c r="I175" i="75"/>
  <c r="J173" i="75"/>
  <c r="I173" i="75"/>
  <c r="J174" i="75"/>
  <c r="I174" i="75"/>
  <c r="J171" i="75"/>
  <c r="I171" i="75"/>
  <c r="J169" i="75"/>
  <c r="I169" i="75"/>
  <c r="J170" i="75"/>
  <c r="I170" i="75"/>
  <c r="J167" i="75"/>
  <c r="I167" i="75"/>
  <c r="J166" i="75"/>
  <c r="I166" i="75"/>
  <c r="J164" i="75"/>
  <c r="I164" i="75"/>
  <c r="J165" i="75"/>
  <c r="I165" i="75"/>
  <c r="J162" i="75"/>
  <c r="I162" i="75"/>
  <c r="J160" i="75"/>
  <c r="I160" i="75"/>
  <c r="J159" i="75"/>
  <c r="I159" i="75"/>
  <c r="J161" i="75"/>
  <c r="I161" i="75"/>
  <c r="J157" i="75"/>
  <c r="I157" i="75"/>
  <c r="J156" i="75"/>
  <c r="I156" i="75"/>
  <c r="J154" i="75"/>
  <c r="I154" i="75"/>
  <c r="J153" i="75"/>
  <c r="I153" i="75"/>
  <c r="J155" i="75"/>
  <c r="I155" i="75"/>
  <c r="J151" i="75"/>
  <c r="I151" i="75"/>
  <c r="J150" i="75"/>
  <c r="I150" i="75"/>
  <c r="J149" i="75"/>
  <c r="I149" i="75"/>
  <c r="J148" i="75"/>
  <c r="I148" i="75"/>
  <c r="J146" i="75"/>
  <c r="I146" i="75"/>
  <c r="J145" i="75"/>
  <c r="I145" i="75"/>
  <c r="J143" i="75"/>
  <c r="I143" i="75"/>
  <c r="J142" i="75"/>
  <c r="I142" i="75"/>
  <c r="J144" i="75"/>
  <c r="I144" i="75"/>
  <c r="J140" i="75"/>
  <c r="I140" i="75"/>
  <c r="J139" i="75"/>
  <c r="I139" i="75"/>
  <c r="J138" i="75"/>
  <c r="I138" i="75"/>
  <c r="J136" i="75"/>
  <c r="I136" i="75"/>
  <c r="J137" i="75"/>
  <c r="I137" i="75"/>
  <c r="J133" i="75"/>
  <c r="I133" i="75"/>
  <c r="J132" i="75"/>
  <c r="I132" i="75"/>
  <c r="J131" i="75"/>
  <c r="I131" i="75"/>
  <c r="J130" i="75"/>
  <c r="I130" i="75"/>
  <c r="J134" i="75"/>
  <c r="I134" i="75"/>
  <c r="J128" i="75"/>
  <c r="I128" i="75"/>
  <c r="J127" i="75"/>
  <c r="I127" i="75"/>
  <c r="J125" i="75"/>
  <c r="I125" i="75"/>
  <c r="J124" i="75"/>
  <c r="I124" i="75"/>
  <c r="J126" i="75"/>
  <c r="I126" i="75"/>
  <c r="J121" i="75"/>
  <c r="I121" i="75"/>
  <c r="J120" i="75"/>
  <c r="I120" i="75"/>
  <c r="J122" i="75"/>
  <c r="I122" i="75"/>
  <c r="J118" i="75"/>
  <c r="I118" i="75"/>
  <c r="J114" i="75"/>
  <c r="I114" i="75"/>
  <c r="J117" i="75"/>
  <c r="I117" i="75"/>
  <c r="J112" i="75"/>
  <c r="I112" i="75"/>
  <c r="J110" i="75"/>
  <c r="I110" i="75"/>
  <c r="J109" i="75"/>
  <c r="I109" i="75"/>
  <c r="J108" i="75"/>
  <c r="I108" i="75"/>
  <c r="J111" i="75"/>
  <c r="I111" i="75"/>
  <c r="J106" i="75"/>
  <c r="I106" i="75"/>
  <c r="J104" i="75"/>
  <c r="I104" i="75"/>
  <c r="J103" i="75"/>
  <c r="I103" i="75"/>
  <c r="J102" i="75"/>
  <c r="I102" i="75"/>
  <c r="J105" i="75"/>
  <c r="I105" i="75"/>
  <c r="J99" i="75"/>
  <c r="I99" i="75"/>
  <c r="J98" i="75"/>
  <c r="I98" i="75"/>
  <c r="J97" i="75"/>
  <c r="I97" i="75"/>
  <c r="J96" i="75"/>
  <c r="I96" i="75"/>
  <c r="J100" i="75"/>
  <c r="I100" i="75"/>
  <c r="J94" i="75"/>
  <c r="I94" i="75"/>
  <c r="J93" i="75"/>
  <c r="I93" i="75"/>
  <c r="J92" i="75"/>
  <c r="I92" i="75"/>
  <c r="J91" i="75"/>
  <c r="I91" i="75"/>
  <c r="J90" i="75"/>
  <c r="I90" i="75"/>
  <c r="J88" i="75"/>
  <c r="I88" i="75"/>
  <c r="J87" i="75"/>
  <c r="I87" i="75"/>
  <c r="J86" i="75"/>
  <c r="I86" i="75"/>
  <c r="J84" i="75"/>
  <c r="I84" i="75"/>
  <c r="J85" i="75"/>
  <c r="I85" i="75"/>
  <c r="J82" i="75"/>
  <c r="I82" i="75"/>
  <c r="J81" i="75"/>
  <c r="I81" i="75"/>
  <c r="J79" i="75"/>
  <c r="I79" i="75"/>
  <c r="J80" i="75"/>
  <c r="I80" i="75"/>
  <c r="J77" i="75"/>
  <c r="I77" i="75"/>
  <c r="J76" i="75"/>
  <c r="I76" i="75"/>
  <c r="J75" i="75"/>
  <c r="I75" i="75"/>
  <c r="J74" i="75"/>
  <c r="I74" i="75"/>
  <c r="J72" i="75"/>
  <c r="I72" i="75"/>
  <c r="J71" i="75"/>
  <c r="I71" i="75"/>
  <c r="J70" i="75"/>
  <c r="I70" i="75"/>
  <c r="J69" i="75"/>
  <c r="I69" i="75"/>
  <c r="J68" i="75"/>
  <c r="I68" i="75"/>
  <c r="J65" i="75"/>
  <c r="I65" i="75"/>
  <c r="J64" i="75"/>
  <c r="I64" i="75"/>
  <c r="J63" i="75"/>
  <c r="I63" i="75"/>
  <c r="J62" i="75"/>
  <c r="I62" i="75"/>
  <c r="J61" i="75"/>
  <c r="I61" i="75"/>
  <c r="J66" i="75"/>
  <c r="I66" i="75"/>
  <c r="J59" i="75"/>
  <c r="I59" i="75"/>
  <c r="J58" i="75"/>
  <c r="I58" i="75"/>
  <c r="J57" i="75"/>
  <c r="I57" i="75"/>
  <c r="J56" i="75"/>
  <c r="I56" i="75"/>
  <c r="J55" i="75"/>
  <c r="I55" i="75"/>
  <c r="J53" i="75"/>
  <c r="I53" i="75"/>
  <c r="J52" i="75"/>
  <c r="I52" i="75"/>
  <c r="J51" i="75"/>
  <c r="I51" i="75"/>
  <c r="J49" i="75"/>
  <c r="I49" i="75"/>
  <c r="J50" i="75"/>
  <c r="I50" i="75"/>
  <c r="J46" i="75"/>
  <c r="I46" i="75"/>
  <c r="J45" i="75"/>
  <c r="I45" i="75"/>
  <c r="J44" i="75"/>
  <c r="I44" i="75"/>
  <c r="J43" i="75"/>
  <c r="I43" i="75"/>
  <c r="J47" i="75"/>
  <c r="I47" i="75"/>
  <c r="J41" i="75"/>
  <c r="I41" i="75"/>
  <c r="J40" i="75"/>
  <c r="I40" i="75"/>
  <c r="J39" i="75"/>
  <c r="I39" i="75"/>
  <c r="J38" i="75"/>
  <c r="I38" i="75"/>
  <c r="J37" i="75"/>
  <c r="I37" i="75"/>
  <c r="J35" i="75"/>
  <c r="I35" i="75"/>
  <c r="J34" i="75"/>
  <c r="I34" i="75"/>
  <c r="J33" i="75"/>
  <c r="I33" i="75"/>
  <c r="J32" i="75"/>
  <c r="I32" i="75"/>
  <c r="J30" i="75"/>
  <c r="I30" i="75"/>
  <c r="J28" i="75"/>
  <c r="I28" i="75"/>
  <c r="J27" i="75"/>
  <c r="I27" i="75"/>
  <c r="J26" i="75"/>
  <c r="I26" i="75"/>
  <c r="J29" i="75"/>
  <c r="I29" i="75"/>
  <c r="J24" i="75"/>
  <c r="I24" i="75"/>
  <c r="J23" i="75"/>
  <c r="I23" i="75"/>
  <c r="J21" i="75"/>
  <c r="I21" i="75"/>
  <c r="J20" i="75"/>
  <c r="I20" i="75"/>
  <c r="J22" i="75"/>
  <c r="I22" i="75"/>
  <c r="J18" i="75"/>
  <c r="I18" i="75"/>
  <c r="J17" i="75"/>
  <c r="I17" i="75"/>
  <c r="J15" i="75"/>
  <c r="I15" i="75"/>
  <c r="J14" i="75"/>
  <c r="I14" i="75"/>
  <c r="J16" i="75"/>
  <c r="I16" i="75"/>
  <c r="J12" i="75"/>
  <c r="I12" i="75"/>
  <c r="J11" i="75"/>
  <c r="I11" i="75"/>
  <c r="J9" i="75"/>
  <c r="I9" i="75"/>
  <c r="J8" i="75"/>
  <c r="I8" i="75"/>
  <c r="J10" i="75"/>
  <c r="I10" i="75"/>
  <c r="J6" i="75"/>
  <c r="I6" i="75"/>
  <c r="J5" i="75"/>
  <c r="I5" i="75"/>
  <c r="J3" i="75"/>
  <c r="I3" i="75"/>
  <c r="J2" i="75"/>
  <c r="I2" i="75"/>
  <c r="J4" i="75"/>
  <c r="I4" i="75"/>
  <c r="A19" i="74"/>
  <c r="K203" i="52"/>
  <c r="K145" i="52"/>
  <c r="C13" i="74"/>
  <c r="L84" i="52"/>
  <c r="K84" i="52"/>
  <c r="A3" i="74"/>
  <c r="B3" i="74"/>
  <c r="A4" i="74"/>
  <c r="B4" i="74"/>
  <c r="A5" i="74"/>
  <c r="B5" i="74"/>
  <c r="A6" i="74"/>
  <c r="B6" i="74"/>
  <c r="A7" i="74"/>
  <c r="B7" i="74"/>
  <c r="A8" i="74"/>
  <c r="B8" i="74"/>
  <c r="A9" i="74"/>
  <c r="B9" i="74"/>
  <c r="A10" i="74"/>
  <c r="B10" i="74"/>
  <c r="A11" i="74"/>
  <c r="B11" i="74"/>
  <c r="B76" i="74"/>
  <c r="A14" i="74"/>
  <c r="B14" i="74"/>
  <c r="A15" i="74"/>
  <c r="B15" i="74"/>
  <c r="A16" i="74"/>
  <c r="B16" i="74"/>
  <c r="A17" i="74"/>
  <c r="B17" i="74"/>
  <c r="A18" i="74"/>
  <c r="B18" i="74"/>
  <c r="B19" i="74"/>
  <c r="A20" i="74"/>
  <c r="B20" i="74"/>
  <c r="A21" i="74"/>
  <c r="B21" i="74"/>
  <c r="A22" i="74"/>
  <c r="B22" i="74"/>
  <c r="A23" i="74"/>
  <c r="B23" i="74"/>
  <c r="A24" i="74"/>
  <c r="B24" i="74"/>
  <c r="A26" i="74"/>
  <c r="B26" i="74"/>
  <c r="A27" i="74"/>
  <c r="B27" i="74"/>
  <c r="A28" i="74"/>
  <c r="B28" i="74"/>
  <c r="A29" i="74"/>
  <c r="B29" i="74"/>
  <c r="A30" i="74"/>
  <c r="B30" i="74"/>
  <c r="A31" i="74"/>
  <c r="B31" i="74"/>
  <c r="A12" i="74"/>
  <c r="B12" i="74"/>
  <c r="A25" i="74"/>
  <c r="B25" i="74"/>
  <c r="A32" i="74"/>
  <c r="B32" i="74"/>
  <c r="A33" i="74"/>
  <c r="B33" i="74"/>
  <c r="A34" i="74"/>
  <c r="B34" i="74"/>
  <c r="A35" i="74"/>
  <c r="B35" i="74"/>
  <c r="A13" i="74"/>
  <c r="B13" i="74"/>
  <c r="A36" i="74"/>
  <c r="B36" i="74"/>
  <c r="A37" i="74"/>
  <c r="B37" i="74"/>
  <c r="A38" i="74"/>
  <c r="B38" i="74"/>
  <c r="A39" i="74"/>
  <c r="B39" i="74"/>
  <c r="A40" i="74"/>
  <c r="B40" i="74"/>
  <c r="A41" i="74"/>
  <c r="B41" i="74"/>
  <c r="A42" i="74"/>
  <c r="B42" i="74"/>
  <c r="A43" i="74"/>
  <c r="B43" i="74"/>
  <c r="A44" i="74"/>
  <c r="B44" i="74"/>
  <c r="A45" i="74"/>
  <c r="B45" i="74"/>
  <c r="A46" i="74"/>
  <c r="B46" i="74"/>
  <c r="A47" i="74"/>
  <c r="B47" i="74"/>
  <c r="A48" i="74"/>
  <c r="B48" i="74"/>
  <c r="A49" i="74"/>
  <c r="B49" i="74"/>
  <c r="A50" i="74"/>
  <c r="B50" i="74"/>
  <c r="A51" i="74"/>
  <c r="B51" i="74"/>
  <c r="A52" i="74"/>
  <c r="B52" i="74"/>
  <c r="A53" i="74"/>
  <c r="B53" i="74"/>
  <c r="A54" i="74"/>
  <c r="B54" i="74"/>
  <c r="A55" i="74"/>
  <c r="B55" i="74"/>
  <c r="A56" i="74"/>
  <c r="B56" i="74"/>
  <c r="A57" i="74"/>
  <c r="B57" i="74"/>
  <c r="A58" i="74"/>
  <c r="B58" i="74"/>
  <c r="A59" i="74"/>
  <c r="B59" i="74"/>
  <c r="A60" i="74"/>
  <c r="B60" i="74"/>
  <c r="A61" i="74"/>
  <c r="B61" i="74"/>
  <c r="A62" i="74"/>
  <c r="B62" i="74"/>
  <c r="A63" i="74"/>
  <c r="B63" i="74"/>
  <c r="A64" i="74"/>
  <c r="B64" i="74"/>
  <c r="A65" i="74"/>
  <c r="B65" i="74"/>
  <c r="A66" i="74"/>
  <c r="B66" i="74"/>
  <c r="A67" i="74"/>
  <c r="B67" i="74"/>
  <c r="A68" i="74"/>
  <c r="B68" i="74"/>
  <c r="A69" i="74"/>
  <c r="B69" i="74"/>
  <c r="A70" i="74"/>
  <c r="B70" i="74"/>
  <c r="A71" i="74"/>
  <c r="B71" i="74"/>
  <c r="A72" i="74"/>
  <c r="B72" i="74"/>
  <c r="A73" i="74"/>
  <c r="B73" i="74"/>
  <c r="A74" i="74"/>
  <c r="B74" i="74"/>
  <c r="A75" i="74"/>
  <c r="B75" i="74"/>
  <c r="K30" i="52"/>
  <c r="L30" i="52"/>
  <c r="K210" i="52"/>
  <c r="K25" i="52"/>
  <c r="L25" i="52"/>
  <c r="K3" i="52"/>
  <c r="L3" i="52"/>
  <c r="K4" i="52"/>
  <c r="L4" i="52"/>
  <c r="K5" i="52"/>
  <c r="L5" i="52"/>
  <c r="K6" i="52"/>
  <c r="L6" i="52"/>
  <c r="K7" i="52"/>
  <c r="L7" i="52"/>
  <c r="K8" i="52"/>
  <c r="L8" i="52"/>
  <c r="K9" i="52"/>
  <c r="L9" i="52"/>
  <c r="K10" i="52"/>
  <c r="L10" i="52"/>
  <c r="K11" i="52"/>
  <c r="L11" i="52"/>
  <c r="K12" i="52"/>
  <c r="L12" i="52"/>
  <c r="K13" i="52"/>
  <c r="L13" i="52"/>
  <c r="K14" i="52"/>
  <c r="L14" i="52"/>
  <c r="K15" i="52"/>
  <c r="L15" i="52"/>
  <c r="K16" i="52"/>
  <c r="L16" i="52"/>
  <c r="K17" i="52"/>
  <c r="L17" i="52"/>
  <c r="K18" i="52"/>
  <c r="L18" i="52"/>
  <c r="K19" i="52"/>
  <c r="L19" i="52"/>
  <c r="K20" i="52"/>
  <c r="L20" i="52"/>
  <c r="K21" i="52"/>
  <c r="L21" i="52"/>
  <c r="K22" i="52"/>
  <c r="L22" i="52"/>
  <c r="K23" i="52"/>
  <c r="L23" i="52"/>
  <c r="K24" i="52"/>
  <c r="L24" i="52"/>
  <c r="K26" i="52"/>
  <c r="L26" i="52"/>
  <c r="K27" i="52"/>
  <c r="L27" i="52"/>
  <c r="K31" i="52"/>
  <c r="L31" i="52"/>
  <c r="K32" i="52"/>
  <c r="L32" i="52"/>
  <c r="K33" i="52"/>
  <c r="L33" i="52"/>
  <c r="K34" i="52"/>
  <c r="L34" i="52"/>
  <c r="K35" i="52"/>
  <c r="L35" i="52"/>
  <c r="K36" i="52"/>
  <c r="L36" i="52"/>
  <c r="K37" i="52"/>
  <c r="L37" i="52"/>
  <c r="K38" i="52"/>
  <c r="L38" i="52"/>
  <c r="K39" i="52"/>
  <c r="L39" i="52"/>
  <c r="K40" i="52"/>
  <c r="L40" i="52"/>
  <c r="K47" i="52"/>
  <c r="L47" i="52"/>
  <c r="K48" i="52"/>
  <c r="L48" i="52"/>
  <c r="K46" i="52"/>
  <c r="L46" i="52"/>
  <c r="K50" i="52"/>
  <c r="L50" i="52"/>
  <c r="K51" i="52"/>
  <c r="L51" i="52"/>
  <c r="K52" i="52"/>
  <c r="L52" i="52"/>
  <c r="K53" i="52"/>
  <c r="L53" i="52"/>
  <c r="K54" i="52"/>
  <c r="L54" i="52"/>
  <c r="K55" i="52"/>
  <c r="L55" i="52"/>
  <c r="K56" i="52"/>
  <c r="L56" i="52"/>
  <c r="K57" i="52"/>
  <c r="L57" i="52"/>
  <c r="K58" i="52"/>
  <c r="L58" i="52"/>
  <c r="K59" i="52"/>
  <c r="L59" i="52"/>
  <c r="K61" i="52"/>
  <c r="L61" i="52"/>
  <c r="K62" i="52"/>
  <c r="L62" i="52"/>
  <c r="K63" i="52"/>
  <c r="L63" i="52"/>
  <c r="K64" i="52"/>
  <c r="L64" i="52"/>
  <c r="K65" i="52"/>
  <c r="L65" i="52"/>
  <c r="K66" i="52"/>
  <c r="L66" i="52"/>
  <c r="K67" i="52"/>
  <c r="L67" i="52"/>
  <c r="K68" i="52"/>
  <c r="L68" i="52"/>
  <c r="K69" i="52"/>
  <c r="L69" i="52"/>
  <c r="K70" i="52"/>
  <c r="L70" i="52"/>
  <c r="K71" i="52"/>
  <c r="L71" i="52"/>
  <c r="K72" i="52"/>
  <c r="L72" i="52"/>
  <c r="K73" i="52"/>
  <c r="L73" i="52"/>
  <c r="K74" i="52"/>
  <c r="L74" i="52"/>
  <c r="K75" i="52"/>
  <c r="L75" i="52"/>
  <c r="K76" i="52"/>
  <c r="L76" i="52"/>
  <c r="K77" i="52"/>
  <c r="L77" i="52"/>
  <c r="K78" i="52"/>
  <c r="L78" i="52"/>
  <c r="K79" i="52"/>
  <c r="L79" i="52"/>
  <c r="K80" i="52"/>
  <c r="L80" i="52"/>
  <c r="K82" i="52"/>
  <c r="L82" i="52"/>
  <c r="K83" i="52"/>
  <c r="L83" i="52"/>
  <c r="K97" i="52"/>
  <c r="L97" i="52"/>
  <c r="K85" i="52"/>
  <c r="L85" i="52"/>
  <c r="K86" i="52"/>
  <c r="L86" i="52"/>
  <c r="K87" i="52"/>
  <c r="L87" i="52"/>
  <c r="K88" i="52"/>
  <c r="L88" i="52"/>
  <c r="K89" i="52"/>
  <c r="L89" i="52"/>
  <c r="K81" i="52"/>
  <c r="L81" i="52"/>
  <c r="K96" i="52"/>
  <c r="L96" i="52"/>
  <c r="K60" i="52"/>
  <c r="L60" i="52"/>
  <c r="K98" i="52"/>
  <c r="L98" i="52"/>
  <c r="K99" i="52"/>
  <c r="L99" i="52"/>
  <c r="K100" i="52"/>
  <c r="L100" i="52"/>
  <c r="K101" i="52"/>
  <c r="L101" i="52"/>
  <c r="K102" i="52"/>
  <c r="L102" i="52"/>
  <c r="K103" i="52"/>
  <c r="L103" i="52"/>
  <c r="K104" i="52"/>
  <c r="L104" i="52"/>
  <c r="K105" i="52"/>
  <c r="L105" i="52"/>
  <c r="K106" i="52"/>
  <c r="L106" i="52"/>
  <c r="K108" i="52"/>
  <c r="L108" i="52"/>
  <c r="K109" i="52"/>
  <c r="L109" i="52"/>
  <c r="K110" i="52"/>
  <c r="L110" i="52"/>
  <c r="K122" i="52"/>
  <c r="L122" i="52"/>
  <c r="K92" i="52"/>
  <c r="L92" i="52"/>
  <c r="K95" i="52"/>
  <c r="L95" i="52"/>
  <c r="K42" i="52"/>
  <c r="L42" i="52"/>
  <c r="K107" i="52"/>
  <c r="L107" i="52"/>
  <c r="K44" i="52"/>
  <c r="L44" i="52"/>
  <c r="K45" i="52"/>
  <c r="L45" i="52"/>
  <c r="K111" i="52"/>
  <c r="L111" i="52"/>
  <c r="K112" i="52"/>
  <c r="L112" i="52"/>
  <c r="K113" i="52"/>
  <c r="L113" i="52"/>
  <c r="K114" i="52"/>
  <c r="L114" i="52"/>
  <c r="K115" i="52"/>
  <c r="L115" i="52"/>
  <c r="K116" i="52"/>
  <c r="L116" i="52"/>
  <c r="K118" i="52"/>
  <c r="L118" i="52"/>
  <c r="K119" i="52"/>
  <c r="L119" i="52"/>
  <c r="K126" i="52"/>
  <c r="L126" i="52"/>
  <c r="K127" i="52"/>
  <c r="L127" i="52"/>
  <c r="K125" i="52"/>
  <c r="L125" i="52"/>
  <c r="K128" i="52"/>
  <c r="L128" i="52"/>
  <c r="K129" i="52"/>
  <c r="L129" i="52"/>
  <c r="K130" i="52"/>
  <c r="L130" i="52"/>
  <c r="K143" i="52"/>
  <c r="L143" i="52"/>
  <c r="K131" i="52"/>
  <c r="L131" i="52"/>
  <c r="K133" i="52"/>
  <c r="L133" i="52"/>
  <c r="K134" i="52"/>
  <c r="L134" i="52"/>
  <c r="K135" i="52"/>
  <c r="L135" i="52"/>
  <c r="K136" i="52"/>
  <c r="L136" i="52"/>
  <c r="K137" i="52"/>
  <c r="L137" i="52"/>
  <c r="K138" i="52"/>
  <c r="L138" i="52"/>
  <c r="K139" i="52"/>
  <c r="L139" i="52"/>
  <c r="K140" i="52"/>
  <c r="L140" i="52"/>
  <c r="K141" i="52"/>
  <c r="L141" i="52"/>
  <c r="K142" i="52"/>
  <c r="L142" i="52"/>
  <c r="K144" i="52"/>
  <c r="L144" i="52"/>
  <c r="L145" i="52"/>
  <c r="K146" i="52"/>
  <c r="L146" i="52"/>
  <c r="K147" i="52"/>
  <c r="L147" i="52"/>
  <c r="K148" i="52"/>
  <c r="L148" i="52"/>
  <c r="K149" i="52"/>
  <c r="L149" i="52"/>
  <c r="K150" i="52"/>
  <c r="L150" i="52"/>
  <c r="K151" i="52"/>
  <c r="L151" i="52"/>
  <c r="K152" i="52"/>
  <c r="L152" i="52"/>
  <c r="K41" i="52"/>
  <c r="L41" i="52"/>
  <c r="K117" i="52"/>
  <c r="L117" i="52"/>
  <c r="K43" i="52"/>
  <c r="L43" i="52"/>
  <c r="K28" i="52"/>
  <c r="L28" i="52"/>
  <c r="K91" i="52"/>
  <c r="L91" i="52"/>
  <c r="K153" i="52"/>
  <c r="L153" i="52"/>
  <c r="K154" i="52"/>
  <c r="L154" i="52"/>
  <c r="K29" i="52"/>
  <c r="L29" i="52"/>
  <c r="K155" i="52"/>
  <c r="L155" i="52"/>
  <c r="K93" i="52"/>
  <c r="L93" i="52"/>
  <c r="K90" i="52"/>
  <c r="L90" i="52"/>
  <c r="K132" i="52"/>
  <c r="L132" i="52"/>
  <c r="K121" i="52"/>
  <c r="L121" i="52"/>
  <c r="K94" i="52"/>
  <c r="L94" i="52"/>
  <c r="K156" i="52"/>
  <c r="L156" i="52"/>
  <c r="K123" i="52"/>
  <c r="L123" i="52"/>
  <c r="K124" i="52"/>
  <c r="L124" i="52"/>
  <c r="K120" i="52"/>
  <c r="L120" i="52"/>
  <c r="K49" i="52"/>
  <c r="L49" i="52"/>
  <c r="K157" i="52"/>
  <c r="L157" i="52"/>
  <c r="K158" i="52"/>
  <c r="L158" i="52"/>
  <c r="K159" i="52"/>
  <c r="L159" i="52"/>
  <c r="K160" i="52"/>
  <c r="L160" i="52"/>
  <c r="K161" i="52"/>
  <c r="L161" i="52"/>
  <c r="K162" i="52"/>
  <c r="L162" i="52"/>
  <c r="K163" i="52"/>
  <c r="L163" i="52"/>
  <c r="K164" i="52"/>
  <c r="L164" i="52"/>
  <c r="K165" i="52"/>
  <c r="L165" i="52"/>
  <c r="K166" i="52"/>
  <c r="L166" i="52"/>
  <c r="K167" i="52"/>
  <c r="L167" i="52"/>
  <c r="K168" i="52"/>
  <c r="L168" i="52"/>
  <c r="K169" i="52"/>
  <c r="L169" i="52"/>
  <c r="K170" i="52"/>
  <c r="L170" i="52"/>
  <c r="K171" i="52"/>
  <c r="L171" i="52"/>
  <c r="K188" i="52"/>
  <c r="L188" i="52"/>
  <c r="K189" i="52"/>
  <c r="L189" i="52"/>
  <c r="K190" i="52"/>
  <c r="L190" i="52"/>
  <c r="K187" i="52"/>
  <c r="L187" i="52"/>
  <c r="K191" i="52"/>
  <c r="L191" i="52"/>
  <c r="K173" i="52"/>
  <c r="L173" i="52"/>
  <c r="K172" i="52"/>
  <c r="L172" i="52"/>
  <c r="K174" i="52"/>
  <c r="L174" i="52"/>
  <c r="K175" i="52"/>
  <c r="L175" i="52"/>
  <c r="K176" i="52"/>
  <c r="L176" i="52"/>
  <c r="K177" i="52"/>
  <c r="L177" i="52"/>
  <c r="K178" i="52"/>
  <c r="L178" i="52"/>
  <c r="K179" i="52"/>
  <c r="L179" i="52"/>
  <c r="K180" i="52"/>
  <c r="L180" i="52"/>
  <c r="K181" i="52"/>
  <c r="L181" i="52"/>
  <c r="K182" i="52"/>
  <c r="L182" i="52"/>
  <c r="K183" i="52"/>
  <c r="L183" i="52"/>
  <c r="K184" i="52"/>
  <c r="L184" i="52"/>
  <c r="K185" i="52"/>
  <c r="L185" i="52"/>
  <c r="K186" i="52"/>
  <c r="L186" i="52"/>
  <c r="K192" i="52"/>
  <c r="L192" i="52"/>
  <c r="K193" i="52"/>
  <c r="L193" i="52"/>
  <c r="K194" i="52"/>
  <c r="L194" i="52"/>
  <c r="K195" i="52"/>
  <c r="L195" i="52"/>
  <c r="K196" i="52"/>
  <c r="L196" i="52"/>
  <c r="K197" i="52"/>
  <c r="L197" i="52"/>
  <c r="K198" i="52"/>
  <c r="L198" i="52"/>
  <c r="K199" i="52"/>
  <c r="L199" i="52"/>
  <c r="K200" i="52"/>
  <c r="L200" i="52"/>
  <c r="K201" i="52"/>
  <c r="L201" i="52"/>
  <c r="K202" i="52"/>
  <c r="L202" i="52"/>
  <c r="L203" i="52"/>
  <c r="K204" i="52"/>
  <c r="L204" i="52"/>
  <c r="K205" i="52"/>
  <c r="L205" i="52"/>
  <c r="K211" i="52"/>
  <c r="L211" i="52"/>
  <c r="K212" i="52"/>
  <c r="L212" i="52"/>
  <c r="K214" i="52"/>
  <c r="L214" i="52"/>
  <c r="K215" i="52"/>
  <c r="L215" i="52"/>
  <c r="K216" i="52"/>
  <c r="L216" i="52"/>
  <c r="K217" i="52"/>
  <c r="L217" i="52"/>
  <c r="K218" i="52"/>
  <c r="L218" i="52"/>
  <c r="K219" i="52"/>
  <c r="L219" i="52"/>
  <c r="K221" i="52"/>
  <c r="L221" i="52"/>
  <c r="K222" i="52"/>
  <c r="L222" i="52"/>
  <c r="K220" i="52"/>
  <c r="L220" i="52"/>
  <c r="K223" i="52"/>
  <c r="L223" i="52"/>
  <c r="K224" i="52"/>
  <c r="L224" i="52"/>
  <c r="K225" i="52"/>
  <c r="L225" i="52"/>
  <c r="K226" i="52"/>
  <c r="L226" i="52"/>
  <c r="K227" i="52"/>
  <c r="L227" i="52"/>
  <c r="K228" i="52"/>
  <c r="L228" i="52"/>
  <c r="K229" i="52"/>
  <c r="L229" i="52"/>
  <c r="K230" i="52"/>
  <c r="L230" i="52"/>
  <c r="K231" i="52"/>
  <c r="L231" i="52"/>
  <c r="K232" i="52"/>
  <c r="L232" i="52"/>
  <c r="K233" i="52"/>
  <c r="L233" i="52"/>
  <c r="K234" i="52"/>
  <c r="L234" i="52"/>
  <c r="K235" i="52"/>
  <c r="L235" i="52"/>
  <c r="K236" i="52"/>
  <c r="L236" i="52"/>
  <c r="K237" i="52"/>
  <c r="L237" i="52"/>
  <c r="K238" i="52"/>
  <c r="L238" i="52"/>
  <c r="K239" i="52"/>
  <c r="L239" i="52"/>
  <c r="K240" i="52"/>
  <c r="L240" i="52"/>
  <c r="K241" i="52"/>
  <c r="L241" i="52"/>
  <c r="K242" i="52"/>
  <c r="L242" i="52"/>
  <c r="K206" i="52"/>
  <c r="L206" i="52"/>
  <c r="K207" i="52"/>
  <c r="L207" i="52"/>
  <c r="K208" i="52"/>
  <c r="L208" i="52"/>
  <c r="K209" i="52"/>
  <c r="L209" i="52"/>
  <c r="K246" i="52"/>
  <c r="L246" i="52"/>
  <c r="K243" i="52"/>
  <c r="L243" i="52"/>
  <c r="K247" i="52"/>
  <c r="L247" i="52"/>
  <c r="K248" i="52"/>
  <c r="L248" i="52"/>
  <c r="K249" i="52"/>
  <c r="L249" i="52"/>
  <c r="K250" i="52"/>
  <c r="L250" i="52"/>
  <c r="K244" i="52"/>
  <c r="L244" i="52"/>
  <c r="K213" i="52"/>
  <c r="L213" i="52"/>
  <c r="K245" i="52"/>
  <c r="L245" i="52"/>
  <c r="L210" i="52"/>
  <c r="K2" i="52"/>
  <c r="L2" i="52"/>
  <c r="A2" i="74"/>
  <c r="B2" i="74"/>
  <c r="J84" i="52"/>
  <c r="H84" i="52"/>
  <c r="G84" i="52"/>
  <c r="I84" i="52"/>
  <c r="J21" i="52"/>
  <c r="H90" i="52"/>
  <c r="H142" i="52"/>
  <c r="G77" i="52"/>
  <c r="G86" i="52"/>
  <c r="J124" i="52"/>
  <c r="H214" i="52"/>
  <c r="I201" i="52"/>
  <c r="J125" i="52"/>
  <c r="I153" i="52"/>
  <c r="G180" i="52"/>
  <c r="J164" i="52"/>
  <c r="I19" i="52"/>
  <c r="G25" i="52"/>
  <c r="G192" i="52"/>
  <c r="H212" i="52"/>
  <c r="J70" i="52"/>
  <c r="G23" i="52"/>
  <c r="H175" i="52"/>
  <c r="G184" i="52"/>
  <c r="G148" i="52"/>
  <c r="G234" i="52"/>
  <c r="I185" i="52"/>
  <c r="G159" i="52"/>
  <c r="I154" i="52"/>
  <c r="I57" i="52"/>
  <c r="G116" i="52"/>
  <c r="I221" i="52"/>
  <c r="J8" i="52"/>
  <c r="H209" i="52"/>
  <c r="I55" i="52"/>
  <c r="J140" i="52"/>
  <c r="J174" i="52"/>
  <c r="I151" i="52"/>
  <c r="G142" i="52"/>
  <c r="I119" i="52"/>
  <c r="H216" i="52"/>
  <c r="G99" i="52"/>
  <c r="G166" i="52"/>
  <c r="H218" i="52"/>
  <c r="I205" i="52"/>
  <c r="J199" i="52"/>
  <c r="H41" i="52"/>
  <c r="I224" i="52"/>
  <c r="G246" i="52"/>
  <c r="H134" i="52"/>
  <c r="I29" i="52"/>
  <c r="J239" i="52"/>
  <c r="J200" i="52"/>
  <c r="H148" i="52"/>
  <c r="I233" i="52"/>
  <c r="I216" i="52"/>
  <c r="J189" i="52"/>
  <c r="G106" i="52"/>
  <c r="J61" i="52"/>
  <c r="H97" i="52"/>
  <c r="H247" i="52"/>
  <c r="I231" i="52"/>
  <c r="J153" i="52"/>
  <c r="G41" i="52"/>
  <c r="I45" i="52"/>
  <c r="J167" i="52"/>
  <c r="G200" i="52"/>
  <c r="H64" i="52"/>
  <c r="I168" i="52"/>
  <c r="J236" i="52"/>
  <c r="G189" i="52"/>
  <c r="H131" i="52"/>
  <c r="I227" i="52"/>
  <c r="J181" i="52"/>
  <c r="H38" i="52"/>
  <c r="J92" i="52"/>
  <c r="J74" i="52"/>
  <c r="J35" i="52"/>
  <c r="H24" i="52"/>
  <c r="H245" i="52"/>
  <c r="J95" i="52"/>
  <c r="H93" i="52"/>
  <c r="J210" i="52"/>
  <c r="G203" i="52"/>
  <c r="J241" i="52"/>
  <c r="H48" i="52"/>
  <c r="H2" i="52"/>
  <c r="G6" i="52"/>
  <c r="G228" i="52"/>
  <c r="H155" i="52"/>
  <c r="H205" i="52"/>
  <c r="I63" i="52"/>
  <c r="I199" i="52"/>
  <c r="J136" i="52"/>
  <c r="J195" i="52"/>
  <c r="G137" i="52"/>
  <c r="G183" i="52"/>
  <c r="H137" i="52"/>
  <c r="H196" i="52"/>
  <c r="I28" i="52"/>
  <c r="I215" i="52"/>
  <c r="J123" i="52"/>
  <c r="J118" i="52"/>
  <c r="G191" i="52"/>
  <c r="H241" i="52"/>
  <c r="H203" i="52"/>
  <c r="I147" i="52"/>
  <c r="I114" i="52"/>
  <c r="J157" i="52"/>
  <c r="G144" i="52"/>
  <c r="H208" i="52"/>
  <c r="H217" i="52"/>
  <c r="I189" i="52"/>
  <c r="J152" i="52"/>
  <c r="J66" i="52"/>
  <c r="G98" i="52"/>
  <c r="G39" i="52"/>
  <c r="I53" i="52"/>
  <c r="J3" i="52"/>
  <c r="J9" i="52"/>
  <c r="G18" i="52"/>
  <c r="I14" i="52"/>
  <c r="G69" i="52"/>
  <c r="I15" i="52"/>
  <c r="G73" i="52"/>
  <c r="G30" i="52"/>
  <c r="I67" i="52"/>
  <c r="I69" i="52"/>
  <c r="I11" i="52"/>
  <c r="H56" i="52"/>
  <c r="G109" i="52"/>
  <c r="G47" i="52"/>
  <c r="J5" i="52"/>
  <c r="I65" i="52"/>
  <c r="I5" i="52"/>
  <c r="J80" i="52"/>
  <c r="G51" i="52"/>
  <c r="J65" i="52"/>
  <c r="J75" i="52"/>
  <c r="J17" i="52"/>
  <c r="I71" i="52"/>
  <c r="J102" i="52"/>
  <c r="J31" i="52"/>
  <c r="G112" i="52"/>
  <c r="H111" i="52"/>
  <c r="I48" i="52"/>
  <c r="H26" i="52"/>
  <c r="H17" i="52"/>
  <c r="G62" i="52"/>
  <c r="H98" i="52"/>
  <c r="H20" i="52"/>
  <c r="G78" i="52"/>
  <c r="G12" i="52"/>
  <c r="J101" i="52"/>
  <c r="J143" i="52"/>
  <c r="J216" i="52"/>
  <c r="J165" i="52"/>
  <c r="J135" i="52"/>
  <c r="I126" i="52"/>
  <c r="I181" i="52"/>
  <c r="I152" i="52"/>
  <c r="H129" i="52"/>
  <c r="H185" i="52"/>
  <c r="H43" i="52"/>
  <c r="H243" i="52"/>
  <c r="G194" i="52"/>
  <c r="G83" i="52"/>
  <c r="G250" i="52"/>
  <c r="J173" i="52"/>
  <c r="J91" i="52"/>
  <c r="J248" i="52"/>
  <c r="I193" i="52"/>
  <c r="I91" i="52"/>
  <c r="I248" i="52"/>
  <c r="H173" i="52"/>
  <c r="H29" i="52"/>
  <c r="H239" i="52"/>
  <c r="G176" i="52"/>
  <c r="G64" i="52"/>
  <c r="G225" i="52"/>
  <c r="J197" i="52"/>
  <c r="J60" i="52"/>
  <c r="J238" i="52"/>
  <c r="I211" i="52"/>
  <c r="I160" i="52"/>
  <c r="I137" i="52"/>
  <c r="H224" i="52"/>
  <c r="H171" i="52"/>
  <c r="H150" i="52"/>
  <c r="G45" i="52"/>
  <c r="G175" i="52"/>
  <c r="G60" i="52"/>
  <c r="G238" i="52"/>
  <c r="J116" i="52"/>
  <c r="J177" i="52"/>
  <c r="J63" i="52"/>
  <c r="J247" i="52"/>
  <c r="I214" i="52"/>
  <c r="I162" i="52"/>
  <c r="I140" i="52"/>
  <c r="H127" i="52"/>
  <c r="H182" i="52"/>
  <c r="H153" i="52"/>
  <c r="H244" i="52"/>
  <c r="G214" i="52"/>
  <c r="G162" i="52"/>
  <c r="G140" i="52"/>
  <c r="J2" i="52"/>
  <c r="J190" i="52"/>
  <c r="H30" i="52"/>
  <c r="I9" i="52"/>
  <c r="I58" i="52"/>
  <c r="I66" i="52"/>
  <c r="G107" i="52"/>
  <c r="H52" i="52"/>
  <c r="G105" i="52"/>
  <c r="G37" i="52"/>
  <c r="J85" i="52"/>
  <c r="I59" i="52"/>
  <c r="G42" i="52"/>
  <c r="G108" i="52"/>
  <c r="G40" i="52"/>
  <c r="J40" i="52"/>
  <c r="J71" i="52"/>
  <c r="J13" i="52"/>
  <c r="I62" i="52"/>
  <c r="J98" i="52"/>
  <c r="J20" i="52"/>
  <c r="H96" i="52"/>
  <c r="H92" i="52"/>
  <c r="I38" i="52"/>
  <c r="H133" i="52"/>
  <c r="H9" i="52"/>
  <c r="G58" i="52"/>
  <c r="H87" i="52"/>
  <c r="H16" i="52"/>
  <c r="G74" i="52"/>
  <c r="G8" i="52"/>
  <c r="J81" i="52"/>
  <c r="J27" i="52"/>
  <c r="J217" i="52"/>
  <c r="J161" i="52"/>
  <c r="J230" i="52"/>
  <c r="I115" i="52"/>
  <c r="I178" i="52"/>
  <c r="I148" i="52"/>
  <c r="H126" i="52"/>
  <c r="H181" i="52"/>
  <c r="H152" i="52"/>
  <c r="G129" i="52"/>
  <c r="G185" i="52"/>
  <c r="G43" i="52"/>
  <c r="G243" i="52"/>
  <c r="J193" i="52"/>
  <c r="J117" i="52"/>
  <c r="J246" i="52"/>
  <c r="I184" i="52"/>
  <c r="I117" i="52"/>
  <c r="I246" i="52"/>
  <c r="H193" i="52"/>
  <c r="H91" i="52"/>
  <c r="H248" i="52"/>
  <c r="G173" i="52"/>
  <c r="G29" i="52"/>
  <c r="G239" i="52"/>
  <c r="J175" i="52"/>
  <c r="J132" i="52"/>
  <c r="J235" i="52"/>
  <c r="I202" i="52"/>
  <c r="I124" i="52"/>
  <c r="I130" i="52"/>
  <c r="H221" i="52"/>
  <c r="H167" i="52"/>
  <c r="H146" i="52"/>
  <c r="G80" i="52"/>
  <c r="G196" i="52"/>
  <c r="G132" i="52"/>
  <c r="G235" i="52"/>
  <c r="J228" i="52"/>
  <c r="I30" i="52"/>
  <c r="J30" i="52"/>
  <c r="G121" i="52"/>
  <c r="H121" i="52"/>
  <c r="I121" i="52"/>
  <c r="J121" i="52"/>
  <c r="J25" i="52"/>
  <c r="H25" i="52"/>
  <c r="I75" i="52"/>
  <c r="I56" i="52"/>
  <c r="H81" i="52"/>
  <c r="H19" i="52"/>
  <c r="G110" i="52"/>
  <c r="J51" i="52"/>
  <c r="I51" i="52"/>
  <c r="H51" i="52"/>
  <c r="G72" i="52"/>
  <c r="G5" i="52"/>
  <c r="J79" i="52"/>
  <c r="J4" i="52"/>
  <c r="I17" i="52"/>
  <c r="J57" i="52"/>
  <c r="J36" i="52"/>
  <c r="G22" i="52"/>
  <c r="I31" i="52"/>
  <c r="H88" i="52"/>
  <c r="G88" i="52"/>
  <c r="G92" i="52"/>
  <c r="H31" i="52"/>
  <c r="G61" i="52"/>
  <c r="H68" i="52"/>
  <c r="J110" i="52"/>
  <c r="J115" i="52"/>
  <c r="J169" i="52"/>
  <c r="J237" i="52"/>
  <c r="I217" i="52"/>
  <c r="I208" i="52"/>
  <c r="H194" i="52"/>
  <c r="H144" i="52"/>
  <c r="G220" i="52"/>
  <c r="G161" i="52"/>
  <c r="G237" i="52"/>
  <c r="J176" i="52"/>
  <c r="J147" i="52"/>
  <c r="I222" i="52"/>
  <c r="I157" i="52"/>
  <c r="I236" i="52"/>
  <c r="H176" i="52"/>
  <c r="H151" i="52"/>
  <c r="G114" i="52"/>
  <c r="G168" i="52"/>
  <c r="G209" i="52"/>
  <c r="J202" i="52"/>
  <c r="J154" i="52"/>
  <c r="J232" i="52"/>
  <c r="I179" i="52"/>
  <c r="I150" i="52"/>
  <c r="H113" i="52"/>
  <c r="H160" i="52"/>
  <c r="H206" i="52"/>
  <c r="G221" i="52"/>
  <c r="G160" i="52"/>
  <c r="G206" i="52"/>
  <c r="J218" i="52"/>
  <c r="J159" i="52"/>
  <c r="J207" i="52"/>
  <c r="I116" i="52"/>
  <c r="I190" i="52"/>
  <c r="I149" i="52"/>
  <c r="H122" i="52"/>
  <c r="H177" i="52"/>
  <c r="I80" i="52"/>
  <c r="G174" i="52"/>
  <c r="G90" i="52"/>
  <c r="G245" i="52"/>
  <c r="G244" i="52"/>
  <c r="G48" i="52"/>
  <c r="J250" i="52"/>
  <c r="H115" i="52"/>
  <c r="G156" i="52"/>
  <c r="I203" i="52"/>
  <c r="H128" i="52"/>
  <c r="G219" i="52"/>
  <c r="J150" i="52"/>
  <c r="I206" i="52"/>
  <c r="H210" i="52"/>
  <c r="J201" i="52"/>
  <c r="I218" i="52"/>
  <c r="H223" i="52"/>
  <c r="H140" i="52"/>
  <c r="I25" i="52"/>
  <c r="I54" i="52"/>
  <c r="I52" i="52"/>
  <c r="H86" i="52"/>
  <c r="H15" i="52"/>
  <c r="G56" i="52"/>
  <c r="J10" i="52"/>
  <c r="I40" i="52"/>
  <c r="H40" i="52"/>
  <c r="G68" i="52"/>
  <c r="J104" i="52"/>
  <c r="J67" i="52"/>
  <c r="J55" i="52"/>
  <c r="G4" i="52"/>
  <c r="J53" i="52"/>
  <c r="J26" i="52"/>
  <c r="I106" i="52"/>
  <c r="I20" i="52"/>
  <c r="H75" i="52"/>
  <c r="G79" i="52"/>
  <c r="H106" i="52"/>
  <c r="H12" i="52"/>
  <c r="G57" i="52"/>
  <c r="H23" i="52"/>
  <c r="J56" i="52"/>
  <c r="J227" i="52"/>
  <c r="J49" i="52"/>
  <c r="J233" i="52"/>
  <c r="I204" i="52"/>
  <c r="I156" i="52"/>
  <c r="I250" i="52"/>
  <c r="H178" i="52"/>
  <c r="H139" i="52"/>
  <c r="G216" i="52"/>
  <c r="G49" i="52"/>
  <c r="G233" i="52"/>
  <c r="J184" i="52"/>
  <c r="J141" i="52"/>
  <c r="I219" i="52"/>
  <c r="I120" i="52"/>
  <c r="I225" i="52"/>
  <c r="H184" i="52"/>
  <c r="H147" i="52"/>
  <c r="G226" i="52"/>
  <c r="G164" i="52"/>
  <c r="G241" i="52"/>
  <c r="J196" i="52"/>
  <c r="J28" i="52"/>
  <c r="I125" i="52"/>
  <c r="I187" i="52"/>
  <c r="I146" i="52"/>
  <c r="H215" i="52"/>
  <c r="H124" i="52"/>
  <c r="H238" i="52"/>
  <c r="G215" i="52"/>
  <c r="G124" i="52"/>
  <c r="G210" i="52"/>
  <c r="J214" i="52"/>
  <c r="J6" i="52"/>
  <c r="J240" i="52"/>
  <c r="I228" i="52"/>
  <c r="I170" i="52"/>
  <c r="I145" i="52"/>
  <c r="H116" i="52"/>
  <c r="H190" i="52"/>
  <c r="H149" i="52"/>
  <c r="G44" i="52"/>
  <c r="G195" i="52"/>
  <c r="G155" i="52"/>
  <c r="H78" i="52"/>
  <c r="J156" i="52"/>
  <c r="I83" i="52"/>
  <c r="H230" i="52"/>
  <c r="J191" i="52"/>
  <c r="I64" i="52"/>
  <c r="H138" i="52"/>
  <c r="G120" i="52"/>
  <c r="I113" i="52"/>
  <c r="H60" i="52"/>
  <c r="G93" i="52"/>
  <c r="J94" i="52"/>
  <c r="I159" i="52"/>
  <c r="H166" i="52"/>
  <c r="G95" i="52"/>
  <c r="J188" i="52"/>
  <c r="I39" i="52"/>
  <c r="I47" i="52"/>
  <c r="H77" i="52"/>
  <c r="H11" i="52"/>
  <c r="G52" i="52"/>
  <c r="H42" i="52"/>
  <c r="I36" i="52"/>
  <c r="H33" i="52"/>
  <c r="G65" i="52"/>
  <c r="J72" i="52"/>
  <c r="J62" i="52"/>
  <c r="I4" i="52"/>
  <c r="I42" i="52"/>
  <c r="J48" i="52"/>
  <c r="J14" i="52"/>
  <c r="I102" i="52"/>
  <c r="I16" i="52"/>
  <c r="H67" i="52"/>
  <c r="G75" i="52"/>
  <c r="H102" i="52"/>
  <c r="H8" i="52"/>
  <c r="G53" i="52"/>
  <c r="I96" i="52"/>
  <c r="J52" i="52"/>
  <c r="J220" i="52"/>
  <c r="J208" i="52"/>
  <c r="I158" i="52"/>
  <c r="I131" i="52"/>
  <c r="I243" i="52"/>
  <c r="H189" i="52"/>
  <c r="H135" i="52"/>
  <c r="G217" i="52"/>
  <c r="G208" i="52"/>
  <c r="J180" i="52"/>
  <c r="J138" i="52"/>
  <c r="I212" i="52"/>
  <c r="I50" i="52"/>
  <c r="I239" i="52"/>
  <c r="H180" i="52"/>
  <c r="H141" i="52"/>
  <c r="G222" i="52"/>
  <c r="G157" i="52"/>
  <c r="G236" i="52"/>
  <c r="J192" i="52"/>
  <c r="J41" i="52"/>
  <c r="I118" i="52"/>
  <c r="I171" i="52"/>
  <c r="I142" i="52"/>
  <c r="H211" i="52"/>
  <c r="H123" i="52"/>
  <c r="H235" i="52"/>
  <c r="G211" i="52"/>
  <c r="G123" i="52"/>
  <c r="G213" i="52"/>
  <c r="J205" i="52"/>
  <c r="J97" i="52"/>
  <c r="J234" i="52"/>
  <c r="I223" i="52"/>
  <c r="I166" i="52"/>
  <c r="I136" i="52"/>
  <c r="H228" i="52"/>
  <c r="H170" i="52"/>
  <c r="H145" i="52"/>
  <c r="G122" i="52"/>
  <c r="G186" i="52"/>
  <c r="G153" i="52"/>
  <c r="G247" i="52"/>
  <c r="I12" i="52"/>
  <c r="G32" i="52"/>
  <c r="J204" i="52"/>
  <c r="I198" i="52"/>
  <c r="H169" i="52"/>
  <c r="J128" i="52"/>
  <c r="J134" i="52"/>
  <c r="H191" i="52"/>
  <c r="G248" i="52"/>
  <c r="I167" i="52"/>
  <c r="H202" i="52"/>
  <c r="G202" i="52"/>
  <c r="G249" i="52"/>
  <c r="J245" i="52"/>
  <c r="I229" i="52"/>
  <c r="J23" i="52"/>
  <c r="I32" i="52"/>
  <c r="I37" i="52"/>
  <c r="H73" i="52"/>
  <c r="H7" i="52"/>
  <c r="G143" i="52"/>
  <c r="I108" i="52"/>
  <c r="I33" i="52"/>
  <c r="H14" i="52"/>
  <c r="G59" i="52"/>
  <c r="J33" i="52"/>
  <c r="J58" i="52"/>
  <c r="H4" i="52"/>
  <c r="G21" i="52"/>
  <c r="J38" i="52"/>
  <c r="H99" i="52"/>
  <c r="I98" i="52"/>
  <c r="H58" i="52"/>
  <c r="G71" i="52"/>
  <c r="H3" i="52"/>
  <c r="J47" i="52"/>
  <c r="G204" i="52"/>
  <c r="J183" i="52"/>
  <c r="J89" i="52"/>
  <c r="I21" i="52"/>
  <c r="I143" i="52"/>
  <c r="H69" i="52"/>
  <c r="J42" i="52"/>
  <c r="G27" i="52"/>
  <c r="I104" i="52"/>
  <c r="I26" i="52"/>
  <c r="H10" i="52"/>
  <c r="G55" i="52"/>
  <c r="J18" i="52"/>
  <c r="J54" i="52"/>
  <c r="H100" i="52"/>
  <c r="I111" i="52"/>
  <c r="J34" i="52"/>
  <c r="H79" i="52"/>
  <c r="I87" i="52"/>
  <c r="I8" i="52"/>
  <c r="H46" i="52"/>
  <c r="G67" i="52"/>
  <c r="H74" i="52"/>
  <c r="G35" i="52"/>
  <c r="G38" i="52"/>
  <c r="J107" i="52"/>
  <c r="J37" i="52"/>
  <c r="J158" i="52"/>
  <c r="J131" i="52"/>
  <c r="J243" i="52"/>
  <c r="I172" i="52"/>
  <c r="I43" i="52"/>
  <c r="H227" i="52"/>
  <c r="H165" i="52"/>
  <c r="H242" i="52"/>
  <c r="G158" i="52"/>
  <c r="G131" i="52"/>
  <c r="J119" i="52"/>
  <c r="J168" i="52"/>
  <c r="I128" i="52"/>
  <c r="H107" i="52"/>
  <c r="I27" i="52"/>
  <c r="H66" i="52"/>
  <c r="G101" i="52"/>
  <c r="G24" i="52"/>
  <c r="I100" i="52"/>
  <c r="I23" i="52"/>
  <c r="H5" i="52"/>
  <c r="G36" i="52"/>
  <c r="H18" i="52"/>
  <c r="J46" i="52"/>
  <c r="H55" i="52"/>
  <c r="I92" i="52"/>
  <c r="J16" i="52"/>
  <c r="H71" i="52"/>
  <c r="I78" i="52"/>
  <c r="I3" i="52"/>
  <c r="H35" i="52"/>
  <c r="G54" i="52"/>
  <c r="H70" i="52"/>
  <c r="J45" i="52"/>
  <c r="G34" i="52"/>
  <c r="J109" i="52"/>
  <c r="J24" i="52"/>
  <c r="J198" i="52"/>
  <c r="J83" i="52"/>
  <c r="I112" i="52"/>
  <c r="I194" i="52"/>
  <c r="I144" i="52"/>
  <c r="H220" i="52"/>
  <c r="H161" i="52"/>
  <c r="H237" i="52"/>
  <c r="G198" i="52"/>
  <c r="G152" i="52"/>
  <c r="J114" i="52"/>
  <c r="I109" i="52"/>
  <c r="I105" i="52"/>
  <c r="I24" i="52"/>
  <c r="H110" i="52"/>
  <c r="G81" i="52"/>
  <c r="G19" i="52"/>
  <c r="I89" i="52"/>
  <c r="I18" i="52"/>
  <c r="H36" i="52"/>
  <c r="G33" i="52"/>
  <c r="J112" i="52"/>
  <c r="J39" i="52"/>
  <c r="H112" i="52"/>
  <c r="J106" i="52"/>
  <c r="J12" i="52"/>
  <c r="H62" i="52"/>
  <c r="I74" i="52"/>
  <c r="H104" i="52"/>
  <c r="H22" i="52"/>
  <c r="G46" i="52"/>
  <c r="H61" i="52"/>
  <c r="J82" i="52"/>
  <c r="G31" i="52"/>
  <c r="J105" i="52"/>
  <c r="J19" i="52"/>
  <c r="J172" i="52"/>
  <c r="J69" i="52"/>
  <c r="H197" i="52"/>
  <c r="H231" i="52"/>
  <c r="G150" i="52"/>
  <c r="J163" i="52"/>
  <c r="I164" i="52"/>
  <c r="G169" i="52"/>
  <c r="I237" i="52"/>
  <c r="J178" i="52"/>
  <c r="J77" i="52"/>
  <c r="H34" i="52"/>
  <c r="G96" i="52"/>
  <c r="I70" i="52"/>
  <c r="G76" i="52"/>
  <c r="I73" i="52"/>
  <c r="G102" i="52"/>
  <c r="G190" i="52"/>
  <c r="I95" i="52"/>
  <c r="H154" i="52"/>
  <c r="G138" i="52"/>
  <c r="H226" i="52"/>
  <c r="J212" i="52"/>
  <c r="I242" i="52"/>
  <c r="J86" i="52"/>
  <c r="H13" i="52"/>
  <c r="I86" i="52"/>
  <c r="I122" i="52"/>
  <c r="I129" i="52"/>
  <c r="J90" i="52"/>
  <c r="I163" i="52"/>
  <c r="J206" i="52"/>
  <c r="J179" i="52"/>
  <c r="G147" i="52"/>
  <c r="G212" i="52"/>
  <c r="H120" i="52"/>
  <c r="H119" i="52"/>
  <c r="I191" i="52"/>
  <c r="J209" i="52"/>
  <c r="J222" i="52"/>
  <c r="G181" i="52"/>
  <c r="I135" i="52"/>
  <c r="I133" i="52"/>
  <c r="J194" i="52"/>
  <c r="H108" i="52"/>
  <c r="H53" i="52"/>
  <c r="H103" i="52"/>
  <c r="H32" i="52"/>
  <c r="J87" i="52"/>
  <c r="J99" i="52"/>
  <c r="G100" i="52"/>
  <c r="H143" i="52"/>
  <c r="I101" i="52"/>
  <c r="H94" i="52"/>
  <c r="G146" i="52"/>
  <c r="J160" i="52"/>
  <c r="H219" i="52"/>
  <c r="G165" i="52"/>
  <c r="J73" i="52"/>
  <c r="G103" i="52"/>
  <c r="I61" i="52"/>
  <c r="J22" i="52"/>
  <c r="G26" i="52"/>
  <c r="I68" i="52"/>
  <c r="I110" i="52"/>
  <c r="G207" i="52"/>
  <c r="J149" i="52"/>
  <c r="I132" i="52"/>
  <c r="H117" i="52"/>
  <c r="J203" i="52"/>
  <c r="I220" i="52"/>
  <c r="J32" i="52"/>
  <c r="I247" i="52"/>
  <c r="H156" i="52"/>
  <c r="H234" i="52"/>
  <c r="H240" i="52"/>
  <c r="G82" i="52"/>
  <c r="I183" i="52"/>
  <c r="J130" i="52"/>
  <c r="J211" i="52"/>
  <c r="G151" i="52"/>
  <c r="G119" i="52"/>
  <c r="H157" i="52"/>
  <c r="I241" i="52"/>
  <c r="I180" i="52"/>
  <c r="J151" i="52"/>
  <c r="J226" i="52"/>
  <c r="G172" i="52"/>
  <c r="H49" i="52"/>
  <c r="I139" i="52"/>
  <c r="I107" i="52"/>
  <c r="J126" i="52"/>
  <c r="G3" i="52"/>
  <c r="H57" i="52"/>
  <c r="G133" i="52"/>
  <c r="H39" i="52"/>
  <c r="I22" i="52"/>
  <c r="J103" i="52"/>
  <c r="G104" i="52"/>
  <c r="J100" i="52"/>
  <c r="H37" i="52"/>
  <c r="I88" i="52"/>
  <c r="I127" i="52"/>
  <c r="J249" i="52"/>
  <c r="H83" i="52"/>
  <c r="I60" i="52"/>
  <c r="J155" i="52"/>
  <c r="I230" i="52"/>
  <c r="H162" i="52"/>
  <c r="I249" i="52"/>
  <c r="H125" i="52"/>
  <c r="H195" i="52"/>
  <c r="H187" i="52"/>
  <c r="J215" i="52"/>
  <c r="H164" i="52"/>
  <c r="I209" i="52"/>
  <c r="I173" i="52"/>
  <c r="J29" i="52"/>
  <c r="G242" i="52"/>
  <c r="G227" i="52"/>
  <c r="H172" i="52"/>
  <c r="I49" i="52"/>
  <c r="J242" i="52"/>
  <c r="J129" i="52"/>
  <c r="G16" i="52"/>
  <c r="G111" i="52"/>
  <c r="I13" i="52"/>
  <c r="H54" i="52"/>
  <c r="I35" i="52"/>
  <c r="J96" i="52"/>
  <c r="H59" i="52"/>
  <c r="G7" i="52"/>
  <c r="H47" i="52"/>
  <c r="I103" i="52"/>
  <c r="H233" i="52"/>
  <c r="J43" i="52"/>
  <c r="G240" i="52"/>
  <c r="G127" i="52"/>
  <c r="I155" i="52"/>
  <c r="J145" i="52"/>
  <c r="G197" i="52"/>
  <c r="I93" i="52"/>
  <c r="H44" i="52"/>
  <c r="J223" i="52"/>
  <c r="H28" i="52"/>
  <c r="G193" i="52"/>
  <c r="J225" i="52"/>
  <c r="I72" i="52"/>
  <c r="G177" i="52"/>
  <c r="I188" i="52"/>
  <c r="I44" i="52"/>
  <c r="G149" i="52"/>
  <c r="J162" i="52"/>
  <c r="H80" i="52"/>
  <c r="I82" i="52"/>
  <c r="H246" i="52"/>
  <c r="G115" i="52"/>
  <c r="H198" i="52"/>
  <c r="I161" i="52"/>
  <c r="J139" i="52"/>
  <c r="J7" i="52"/>
  <c r="G20" i="52"/>
  <c r="G9" i="52"/>
  <c r="H65" i="52"/>
  <c r="J59" i="52"/>
  <c r="I46" i="52"/>
  <c r="J133" i="52"/>
  <c r="H72" i="52"/>
  <c r="G11" i="52"/>
  <c r="H101" i="52"/>
  <c r="G231" i="52"/>
  <c r="G229" i="52"/>
  <c r="H6" i="52"/>
  <c r="I94" i="52"/>
  <c r="J127" i="52"/>
  <c r="G113" i="52"/>
  <c r="J213" i="52"/>
  <c r="G85" i="52"/>
  <c r="G136" i="52"/>
  <c r="I97" i="52"/>
  <c r="G118" i="52"/>
  <c r="I123" i="52"/>
  <c r="G141" i="52"/>
  <c r="H114" i="52"/>
  <c r="G178" i="52"/>
  <c r="H85" i="52"/>
  <c r="J111" i="52"/>
  <c r="J78" i="52"/>
  <c r="G89" i="52"/>
  <c r="H27" i="52"/>
  <c r="G145" i="52"/>
  <c r="I244" i="52"/>
  <c r="J122" i="52"/>
  <c r="H132" i="52"/>
  <c r="H186" i="52"/>
  <c r="I177" i="52"/>
  <c r="G163" i="52"/>
  <c r="H163" i="52"/>
  <c r="H207" i="52"/>
  <c r="I182" i="52"/>
  <c r="J166" i="52"/>
  <c r="G167" i="52"/>
  <c r="I210" i="52"/>
  <c r="J137" i="52"/>
  <c r="G117" i="52"/>
  <c r="G205" i="52"/>
  <c r="H174" i="52"/>
  <c r="I186" i="52"/>
  <c r="J170" i="52"/>
  <c r="H232" i="52"/>
  <c r="H179" i="52"/>
  <c r="I196" i="52"/>
  <c r="J221" i="52"/>
  <c r="H168" i="52"/>
  <c r="I176" i="52"/>
  <c r="G230" i="52"/>
  <c r="G94" i="52"/>
  <c r="H136" i="52"/>
  <c r="I207" i="52"/>
  <c r="I195" i="52"/>
  <c r="J244" i="52"/>
  <c r="J182" i="52"/>
  <c r="G232" i="52"/>
  <c r="G187" i="52"/>
  <c r="H249" i="52"/>
  <c r="H183" i="52"/>
  <c r="I238" i="52"/>
  <c r="I175" i="52"/>
  <c r="J146" i="52"/>
  <c r="J224" i="52"/>
  <c r="G50" i="52"/>
  <c r="H225" i="52"/>
  <c r="H188" i="52"/>
  <c r="I138" i="52"/>
  <c r="I200" i="52"/>
  <c r="J50" i="52"/>
  <c r="G135" i="52"/>
  <c r="G126" i="52"/>
  <c r="H158" i="52"/>
  <c r="I165" i="52"/>
  <c r="J144" i="52"/>
  <c r="J11" i="52"/>
  <c r="G70" i="52"/>
  <c r="G13" i="52"/>
  <c r="H76" i="52"/>
  <c r="J76" i="52"/>
  <c r="I79" i="52"/>
  <c r="G10" i="52"/>
  <c r="H89" i="52"/>
  <c r="G15" i="52"/>
  <c r="H105" i="52"/>
  <c r="I7" i="52"/>
  <c r="G170" i="52"/>
  <c r="I90" i="52"/>
  <c r="G224" i="52"/>
  <c r="H118" i="52"/>
  <c r="G134" i="52"/>
  <c r="H222" i="52"/>
  <c r="I76" i="52"/>
  <c r="H159" i="52"/>
  <c r="G28" i="52"/>
  <c r="I232" i="52"/>
  <c r="J171" i="52"/>
  <c r="H50" i="52"/>
  <c r="J219" i="52"/>
  <c r="J185" i="52"/>
  <c r="H21" i="52"/>
  <c r="J88" i="52"/>
  <c r="I85" i="52"/>
  <c r="I81" i="52"/>
  <c r="G182" i="52"/>
  <c r="I6" i="52"/>
  <c r="G154" i="52"/>
  <c r="G125" i="52"/>
  <c r="G199" i="52"/>
  <c r="I245" i="52"/>
  <c r="J44" i="52"/>
  <c r="I213" i="52"/>
  <c r="G201" i="52"/>
  <c r="I234" i="52"/>
  <c r="H82" i="52"/>
  <c r="H45" i="52"/>
  <c r="I192" i="52"/>
  <c r="G128" i="52"/>
  <c r="G63" i="52"/>
  <c r="H229" i="52"/>
  <c r="I240" i="52"/>
  <c r="J231" i="52"/>
  <c r="G171" i="52"/>
  <c r="I235" i="52"/>
  <c r="J142" i="52"/>
  <c r="G91" i="52"/>
  <c r="I134" i="52"/>
  <c r="J64" i="52"/>
  <c r="G2" i="52"/>
  <c r="G218" i="52"/>
  <c r="H199" i="52"/>
  <c r="I2" i="52"/>
  <c r="G97" i="52"/>
  <c r="G223" i="52"/>
  <c r="H63" i="52"/>
  <c r="H201" i="52"/>
  <c r="I174" i="52"/>
  <c r="J229" i="52"/>
  <c r="J186" i="52"/>
  <c r="G130" i="52"/>
  <c r="G179" i="52"/>
  <c r="H130" i="52"/>
  <c r="H192" i="52"/>
  <c r="I41" i="52"/>
  <c r="I197" i="52"/>
  <c r="J93" i="52"/>
  <c r="J113" i="52"/>
  <c r="G188" i="52"/>
  <c r="H236" i="52"/>
  <c r="H200" i="52"/>
  <c r="I141" i="52"/>
  <c r="I226" i="52"/>
  <c r="J120" i="52"/>
  <c r="G139" i="52"/>
  <c r="H250" i="52"/>
  <c r="H204" i="52"/>
  <c r="I169" i="52"/>
  <c r="J148" i="52"/>
  <c r="J15" i="52"/>
  <c r="G87" i="52"/>
  <c r="G17" i="52"/>
  <c r="I34" i="52"/>
  <c r="J108" i="52"/>
  <c r="I99" i="52"/>
  <c r="G14" i="52"/>
  <c r="I10" i="52"/>
  <c r="G66" i="52"/>
  <c r="H109" i="52"/>
  <c r="I77" i="52"/>
  <c r="H298" i="75"/>
  <c r="G298" i="75"/>
  <c r="F298" i="75"/>
  <c r="H296" i="75"/>
  <c r="G296" i="75"/>
  <c r="F296" i="75"/>
  <c r="H297" i="75"/>
  <c r="G297" i="75"/>
  <c r="F297" i="75"/>
  <c r="H294" i="75"/>
  <c r="G294" i="75"/>
  <c r="F294" i="75"/>
  <c r="H293" i="75"/>
  <c r="G293" i="75"/>
  <c r="F293" i="75"/>
  <c r="H292" i="75"/>
  <c r="G292" i="75"/>
  <c r="F292" i="75"/>
  <c r="H291" i="75"/>
  <c r="G291" i="75"/>
  <c r="F291" i="75"/>
  <c r="H290" i="75"/>
  <c r="G290" i="75"/>
  <c r="F290" i="75"/>
  <c r="H288" i="75"/>
  <c r="G288" i="75"/>
  <c r="F288" i="75"/>
  <c r="H287" i="75"/>
  <c r="G287" i="75"/>
  <c r="F287" i="75"/>
  <c r="H285" i="75"/>
  <c r="G285" i="75"/>
  <c r="F285" i="75"/>
  <c r="H284" i="75"/>
  <c r="G284" i="75"/>
  <c r="F284" i="75"/>
  <c r="H286" i="75"/>
  <c r="G286" i="75"/>
  <c r="F286" i="75"/>
  <c r="H282" i="75"/>
  <c r="G282" i="75"/>
  <c r="F282" i="75"/>
  <c r="H281" i="75"/>
  <c r="G281" i="75"/>
  <c r="F281" i="75"/>
  <c r="H280" i="75"/>
  <c r="G280" i="75"/>
  <c r="F280" i="75"/>
  <c r="H278" i="75"/>
  <c r="G278" i="75"/>
  <c r="F278" i="75"/>
  <c r="H279" i="75"/>
  <c r="G279" i="75"/>
  <c r="F279" i="75"/>
  <c r="H276" i="75"/>
  <c r="G276" i="75"/>
  <c r="F276" i="75"/>
  <c r="H275" i="75"/>
  <c r="G275" i="75"/>
  <c r="F275" i="75"/>
  <c r="H273" i="75"/>
  <c r="G273" i="75"/>
  <c r="F273" i="75"/>
  <c r="H274" i="75"/>
  <c r="G274" i="75"/>
  <c r="F274" i="75"/>
  <c r="H270" i="75"/>
  <c r="G270" i="75"/>
  <c r="F270" i="75"/>
  <c r="H269" i="75"/>
  <c r="G269" i="75"/>
  <c r="F269" i="75"/>
  <c r="H268" i="75"/>
  <c r="G268" i="75"/>
  <c r="F268" i="75"/>
  <c r="H271" i="75"/>
  <c r="G271" i="75"/>
  <c r="F271" i="75"/>
  <c r="H266" i="75"/>
  <c r="G266" i="75"/>
  <c r="F266" i="75"/>
  <c r="H265" i="75"/>
  <c r="G265" i="75"/>
  <c r="F265" i="75"/>
  <c r="H263" i="75"/>
  <c r="G263" i="75"/>
  <c r="F263" i="75"/>
  <c r="H262" i="75"/>
  <c r="G262" i="75"/>
  <c r="F262" i="75"/>
  <c r="H264" i="75"/>
  <c r="G264" i="75"/>
  <c r="F264" i="75"/>
  <c r="H260" i="75"/>
  <c r="G260" i="75"/>
  <c r="F260" i="75"/>
  <c r="H259" i="75"/>
  <c r="G259" i="75"/>
  <c r="F259" i="75"/>
  <c r="H257" i="75"/>
  <c r="G257" i="75"/>
  <c r="F257" i="75"/>
  <c r="H258" i="75"/>
  <c r="G258" i="75"/>
  <c r="F258" i="75"/>
  <c r="H255" i="75"/>
  <c r="G255" i="75"/>
  <c r="F255" i="75"/>
  <c r="H254" i="75"/>
  <c r="G254" i="75"/>
  <c r="F254" i="75"/>
  <c r="H252" i="75"/>
  <c r="F252" i="75"/>
  <c r="H251" i="75"/>
  <c r="G251" i="75"/>
  <c r="F251" i="75"/>
  <c r="H253" i="75"/>
  <c r="G253" i="75"/>
  <c r="F253" i="75"/>
  <c r="H249" i="75"/>
  <c r="G249" i="75"/>
  <c r="F249" i="75"/>
  <c r="H248" i="75"/>
  <c r="G248" i="75"/>
  <c r="F248" i="75"/>
  <c r="H247" i="75"/>
  <c r="G247" i="75"/>
  <c r="F247" i="75"/>
  <c r="H245" i="75"/>
  <c r="G245" i="75"/>
  <c r="F245" i="75"/>
  <c r="H246" i="75"/>
  <c r="G246" i="75"/>
  <c r="F246" i="75"/>
  <c r="H243" i="75"/>
  <c r="G243" i="75"/>
  <c r="F243" i="75"/>
  <c r="H241" i="75"/>
  <c r="G241" i="75"/>
  <c r="F241" i="75"/>
  <c r="H242" i="75"/>
  <c r="G242" i="75"/>
  <c r="F242" i="75"/>
  <c r="H115" i="75"/>
  <c r="G115" i="75"/>
  <c r="F115" i="75"/>
  <c r="H116" i="75"/>
  <c r="G116" i="75"/>
  <c r="F116" i="75"/>
  <c r="H239" i="75"/>
  <c r="G239" i="75"/>
  <c r="F239" i="75"/>
  <c r="H237" i="75"/>
  <c r="G237" i="75"/>
  <c r="F237" i="75"/>
  <c r="H236" i="75"/>
  <c r="G236" i="75"/>
  <c r="F236" i="75"/>
  <c r="H238" i="75"/>
  <c r="G238" i="75"/>
  <c r="F238" i="75"/>
  <c r="H234" i="75"/>
  <c r="G234" i="75"/>
  <c r="F234" i="75"/>
  <c r="H233" i="75"/>
  <c r="G233" i="75"/>
  <c r="F233" i="75"/>
  <c r="H232" i="75"/>
  <c r="G232" i="75"/>
  <c r="F232" i="75"/>
  <c r="H230" i="75"/>
  <c r="G230" i="75"/>
  <c r="F230" i="75"/>
  <c r="H231" i="75"/>
  <c r="G231" i="75"/>
  <c r="F231" i="75"/>
  <c r="H228" i="75"/>
  <c r="G228" i="75"/>
  <c r="F228" i="75"/>
  <c r="H226" i="75"/>
  <c r="G226" i="75"/>
  <c r="F226" i="75"/>
  <c r="H225" i="75"/>
  <c r="G225" i="75"/>
  <c r="F225" i="75"/>
  <c r="H224" i="75"/>
  <c r="G224" i="75"/>
  <c r="F224" i="75"/>
  <c r="H227" i="75"/>
  <c r="G227" i="75"/>
  <c r="F227" i="75"/>
  <c r="H222" i="75"/>
  <c r="G222" i="75"/>
  <c r="F222" i="75"/>
  <c r="H221" i="75"/>
  <c r="G221" i="75"/>
  <c r="F221" i="75"/>
  <c r="H219" i="75"/>
  <c r="G219" i="75"/>
  <c r="F219" i="75"/>
  <c r="H218" i="75"/>
  <c r="G218" i="75"/>
  <c r="F218" i="75"/>
  <c r="H220" i="75"/>
  <c r="G220" i="75"/>
  <c r="F220" i="75"/>
  <c r="H216" i="75"/>
  <c r="G216" i="75"/>
  <c r="F216" i="75"/>
  <c r="H215" i="75"/>
  <c r="G215" i="75"/>
  <c r="F215" i="75"/>
  <c r="H214" i="75"/>
  <c r="G214" i="75"/>
  <c r="F214" i="75"/>
  <c r="H212" i="75"/>
  <c r="G212" i="75"/>
  <c r="F212" i="75"/>
  <c r="H213" i="75"/>
  <c r="G213" i="75"/>
  <c r="F213" i="75"/>
  <c r="H210" i="75"/>
  <c r="G210" i="75"/>
  <c r="F210" i="75"/>
  <c r="H209" i="75"/>
  <c r="G209" i="75"/>
  <c r="F209" i="75"/>
  <c r="H208" i="75"/>
  <c r="G208" i="75"/>
  <c r="F208" i="75"/>
  <c r="H206" i="75"/>
  <c r="G206" i="75"/>
  <c r="F206" i="75"/>
  <c r="H207" i="75"/>
  <c r="G207" i="75"/>
  <c r="F207" i="75"/>
  <c r="H204" i="75"/>
  <c r="G204" i="75"/>
  <c r="F204" i="75"/>
  <c r="H203" i="75"/>
  <c r="G203" i="75"/>
  <c r="F203" i="75"/>
  <c r="H201" i="75"/>
  <c r="G201" i="75"/>
  <c r="F201" i="75"/>
  <c r="H200" i="75"/>
  <c r="G200" i="75"/>
  <c r="F200" i="75"/>
  <c r="H202" i="75"/>
  <c r="G202" i="75"/>
  <c r="F202" i="75"/>
  <c r="H198" i="75"/>
  <c r="G198" i="75"/>
  <c r="F198" i="75"/>
  <c r="H197" i="75"/>
  <c r="G197" i="75"/>
  <c r="F197" i="75"/>
  <c r="H196" i="75"/>
  <c r="G196" i="75"/>
  <c r="F196" i="75"/>
  <c r="H194" i="75"/>
  <c r="G194" i="75"/>
  <c r="F194" i="75"/>
  <c r="H195" i="75"/>
  <c r="G195" i="75"/>
  <c r="F195" i="75"/>
  <c r="H192" i="75"/>
  <c r="G192" i="75"/>
  <c r="F192" i="75"/>
  <c r="H190" i="75"/>
  <c r="G190" i="75"/>
  <c r="F190" i="75"/>
  <c r="H189" i="75"/>
  <c r="G189" i="75"/>
  <c r="F189" i="75"/>
  <c r="H188" i="75"/>
  <c r="G188" i="75"/>
  <c r="F188" i="75"/>
  <c r="H191" i="75"/>
  <c r="G191" i="75"/>
  <c r="F191" i="75"/>
  <c r="H301" i="75"/>
  <c r="G301" i="75"/>
  <c r="F301" i="75"/>
  <c r="H300" i="75"/>
  <c r="G300" i="75"/>
  <c r="F300" i="75"/>
  <c r="H299" i="75"/>
  <c r="G299" i="75"/>
  <c r="F299" i="75"/>
  <c r="H186" i="75"/>
  <c r="G186" i="75"/>
  <c r="F186" i="75"/>
  <c r="H185" i="75"/>
  <c r="G185" i="75"/>
  <c r="F185" i="75"/>
  <c r="H184" i="75"/>
  <c r="G184" i="75"/>
  <c r="F184" i="75"/>
  <c r="H183" i="75"/>
  <c r="G183" i="75"/>
  <c r="F183" i="75"/>
  <c r="H182" i="75"/>
  <c r="G182" i="75"/>
  <c r="F182" i="75"/>
  <c r="H302" i="75"/>
  <c r="G302" i="75"/>
  <c r="F302" i="75"/>
  <c r="H180" i="75"/>
  <c r="G180" i="75"/>
  <c r="F180" i="75"/>
  <c r="H178" i="75"/>
  <c r="G178" i="75"/>
  <c r="F178" i="75"/>
  <c r="H179" i="75"/>
  <c r="G179" i="75"/>
  <c r="F179" i="75"/>
  <c r="H176" i="75"/>
  <c r="G176" i="75"/>
  <c r="F176" i="75"/>
  <c r="H175" i="75"/>
  <c r="G175" i="75"/>
  <c r="F175" i="75"/>
  <c r="H173" i="75"/>
  <c r="G173" i="75"/>
  <c r="F173" i="75"/>
  <c r="H174" i="75"/>
  <c r="G174" i="75"/>
  <c r="F174" i="75"/>
  <c r="H171" i="75"/>
  <c r="G171" i="75"/>
  <c r="F171" i="75"/>
  <c r="H169" i="75"/>
  <c r="G169" i="75"/>
  <c r="F169" i="75"/>
  <c r="H170" i="75"/>
  <c r="G170" i="75"/>
  <c r="F170" i="75"/>
  <c r="H167" i="75"/>
  <c r="G167" i="75"/>
  <c r="F167" i="75"/>
  <c r="H166" i="75"/>
  <c r="G166" i="75"/>
  <c r="F166" i="75"/>
  <c r="H164" i="75"/>
  <c r="G164" i="75"/>
  <c r="F164" i="75"/>
  <c r="H165" i="75"/>
  <c r="G165" i="75"/>
  <c r="F165" i="75"/>
  <c r="H162" i="75"/>
  <c r="G162" i="75"/>
  <c r="F162" i="75"/>
  <c r="H160" i="75"/>
  <c r="G160" i="75"/>
  <c r="F160" i="75"/>
  <c r="H159" i="75"/>
  <c r="G159" i="75"/>
  <c r="F159" i="75"/>
  <c r="H161" i="75"/>
  <c r="G161" i="75"/>
  <c r="F161" i="75"/>
  <c r="H157" i="75"/>
  <c r="G157" i="75"/>
  <c r="F157" i="75"/>
  <c r="H156" i="75"/>
  <c r="G156" i="75"/>
  <c r="F156" i="75"/>
  <c r="H154" i="75"/>
  <c r="G154" i="75"/>
  <c r="F154" i="75"/>
  <c r="H153" i="75"/>
  <c r="G153" i="75"/>
  <c r="F153" i="75"/>
  <c r="H155" i="75"/>
  <c r="G155" i="75"/>
  <c r="F155" i="75"/>
  <c r="H151" i="75"/>
  <c r="G151" i="75"/>
  <c r="F151" i="75"/>
  <c r="H150" i="75"/>
  <c r="G150" i="75"/>
  <c r="F150" i="75"/>
  <c r="H149" i="75"/>
  <c r="G149" i="75"/>
  <c r="F149" i="75"/>
  <c r="H148" i="75"/>
  <c r="G148" i="75"/>
  <c r="F148" i="75"/>
  <c r="H146" i="75"/>
  <c r="G146" i="75"/>
  <c r="F146" i="75"/>
  <c r="H145" i="75"/>
  <c r="G145" i="75"/>
  <c r="F145" i="75"/>
  <c r="H143" i="75"/>
  <c r="G143" i="75"/>
  <c r="F143" i="75"/>
  <c r="H142" i="75"/>
  <c r="G142" i="75"/>
  <c r="F142" i="75"/>
  <c r="H144" i="75"/>
  <c r="G144" i="75"/>
  <c r="F144" i="75"/>
  <c r="H140" i="75"/>
  <c r="G140" i="75"/>
  <c r="F140" i="75"/>
  <c r="H139" i="75"/>
  <c r="G139" i="75"/>
  <c r="F139" i="75"/>
  <c r="H138" i="75"/>
  <c r="G138" i="75"/>
  <c r="F138" i="75"/>
  <c r="H136" i="75"/>
  <c r="G136" i="75"/>
  <c r="F136" i="75"/>
  <c r="H137" i="75"/>
  <c r="G137" i="75"/>
  <c r="F137" i="75"/>
  <c r="H133" i="75"/>
  <c r="G133" i="75"/>
  <c r="F133" i="75"/>
  <c r="H132" i="75"/>
  <c r="G132" i="75"/>
  <c r="F132" i="75"/>
  <c r="H131" i="75"/>
  <c r="G131" i="75"/>
  <c r="F131" i="75"/>
  <c r="H130" i="75"/>
  <c r="G130" i="75"/>
  <c r="F130" i="75"/>
  <c r="H134" i="75"/>
  <c r="G134" i="75"/>
  <c r="F134" i="75"/>
  <c r="H128" i="75"/>
  <c r="G128" i="75"/>
  <c r="F128" i="75"/>
  <c r="H127" i="75"/>
  <c r="G127" i="75"/>
  <c r="F127" i="75"/>
  <c r="H125" i="75"/>
  <c r="G125" i="75"/>
  <c r="F125" i="75"/>
  <c r="H124" i="75"/>
  <c r="G124" i="75"/>
  <c r="F124" i="75"/>
  <c r="H126" i="75"/>
  <c r="G126" i="75"/>
  <c r="F126" i="75"/>
  <c r="H121" i="75"/>
  <c r="G121" i="75"/>
  <c r="F121" i="75"/>
  <c r="H120" i="75"/>
  <c r="G120" i="75"/>
  <c r="F120" i="75"/>
  <c r="H122" i="75"/>
  <c r="G122" i="75"/>
  <c r="F122" i="75"/>
  <c r="H118" i="75"/>
  <c r="G118" i="75"/>
  <c r="F118" i="75"/>
  <c r="H114" i="75"/>
  <c r="G114" i="75"/>
  <c r="F114" i="75"/>
  <c r="H117" i="75"/>
  <c r="F117" i="75"/>
  <c r="H112" i="75"/>
  <c r="G112" i="75"/>
  <c r="F112" i="75"/>
  <c r="H110" i="75"/>
  <c r="G110" i="75"/>
  <c r="F110" i="75"/>
  <c r="H109" i="75"/>
  <c r="G109" i="75"/>
  <c r="F109" i="75"/>
  <c r="H108" i="75"/>
  <c r="G108" i="75"/>
  <c r="F108" i="75"/>
  <c r="H111" i="75"/>
  <c r="G111" i="75"/>
  <c r="F111" i="75"/>
  <c r="H106" i="75"/>
  <c r="G106" i="75"/>
  <c r="F106" i="75"/>
  <c r="H104" i="75"/>
  <c r="G104" i="75"/>
  <c r="F104" i="75"/>
  <c r="H103" i="75"/>
  <c r="G103" i="75"/>
  <c r="F103" i="75"/>
  <c r="H102" i="75"/>
  <c r="G102" i="75"/>
  <c r="F102" i="75"/>
  <c r="H105" i="75"/>
  <c r="G105" i="75"/>
  <c r="F105" i="75"/>
  <c r="H99" i="75"/>
  <c r="G99" i="75"/>
  <c r="F99" i="75"/>
  <c r="H98" i="75"/>
  <c r="G98" i="75"/>
  <c r="F98" i="75"/>
  <c r="H97" i="75"/>
  <c r="G97" i="75"/>
  <c r="F97" i="75"/>
  <c r="H96" i="75"/>
  <c r="G96" i="75"/>
  <c r="F96" i="75"/>
  <c r="H100" i="75"/>
  <c r="G100" i="75"/>
  <c r="F100" i="75"/>
  <c r="H94" i="75"/>
  <c r="G94" i="75"/>
  <c r="F94" i="75"/>
  <c r="H93" i="75"/>
  <c r="G93" i="75"/>
  <c r="F93" i="75"/>
  <c r="H92" i="75"/>
  <c r="G92" i="75"/>
  <c r="F92" i="75"/>
  <c r="H91" i="75"/>
  <c r="G91" i="75"/>
  <c r="F91" i="75"/>
  <c r="H90" i="75"/>
  <c r="G90" i="75"/>
  <c r="F90" i="75"/>
  <c r="H88" i="75"/>
  <c r="G88" i="75"/>
  <c r="F88" i="75"/>
  <c r="H87" i="75"/>
  <c r="G87" i="75"/>
  <c r="F87" i="75"/>
  <c r="H86" i="75"/>
  <c r="G86" i="75"/>
  <c r="F86" i="75"/>
  <c r="H84" i="75"/>
  <c r="G84" i="75"/>
  <c r="F84" i="75"/>
  <c r="H85" i="75"/>
  <c r="G85" i="75"/>
  <c r="F85" i="75"/>
  <c r="H82" i="75"/>
  <c r="G82" i="75"/>
  <c r="F82" i="75"/>
  <c r="H81" i="75"/>
  <c r="G81" i="75"/>
  <c r="F81" i="75"/>
  <c r="H79" i="75"/>
  <c r="G79" i="75"/>
  <c r="F79" i="75"/>
  <c r="H80" i="75"/>
  <c r="G80" i="75"/>
  <c r="F80" i="75"/>
  <c r="H77" i="75"/>
  <c r="G77" i="75"/>
  <c r="F77" i="75"/>
  <c r="H76" i="75"/>
  <c r="G76" i="75"/>
  <c r="F76" i="75"/>
  <c r="H75" i="75"/>
  <c r="G75" i="75"/>
  <c r="F75" i="75"/>
  <c r="H74" i="75"/>
  <c r="G74" i="75"/>
  <c r="F74" i="75"/>
  <c r="H72" i="75"/>
  <c r="G72" i="75"/>
  <c r="F72" i="75"/>
  <c r="H71" i="75"/>
  <c r="G71" i="75"/>
  <c r="F71" i="75"/>
  <c r="H70" i="75"/>
  <c r="G70" i="75"/>
  <c r="F70" i="75"/>
  <c r="H69" i="75"/>
  <c r="G69" i="75"/>
  <c r="F69" i="75"/>
  <c r="H68" i="75"/>
  <c r="G68" i="75"/>
  <c r="F68" i="75"/>
  <c r="H65" i="75"/>
  <c r="G65" i="75"/>
  <c r="F65" i="75"/>
  <c r="H64" i="75"/>
  <c r="G64" i="75"/>
  <c r="F64" i="75"/>
  <c r="H63" i="75"/>
  <c r="G63" i="75"/>
  <c r="F63" i="75"/>
  <c r="H62" i="75"/>
  <c r="G62" i="75"/>
  <c r="F62" i="75"/>
  <c r="H61" i="75"/>
  <c r="G61" i="75"/>
  <c r="F61" i="75"/>
  <c r="H66" i="75"/>
  <c r="G66" i="75"/>
  <c r="F66" i="75"/>
  <c r="H59" i="75"/>
  <c r="G59" i="75"/>
  <c r="F59" i="75"/>
  <c r="H58" i="75"/>
  <c r="G58" i="75"/>
  <c r="F58" i="75"/>
  <c r="H57" i="75"/>
  <c r="G57" i="75"/>
  <c r="F57" i="75"/>
  <c r="H56" i="75"/>
  <c r="G56" i="75"/>
  <c r="F56" i="75"/>
  <c r="H55" i="75"/>
  <c r="G55" i="75"/>
  <c r="F55" i="75"/>
  <c r="H53" i="75"/>
  <c r="G53" i="75"/>
  <c r="F53" i="75"/>
  <c r="H52" i="75"/>
  <c r="G52" i="75"/>
  <c r="F52" i="75"/>
  <c r="H51" i="75"/>
  <c r="G51" i="75"/>
  <c r="F51" i="75"/>
  <c r="H49" i="75"/>
  <c r="G49" i="75"/>
  <c r="F49" i="75"/>
  <c r="H50" i="75"/>
  <c r="G50" i="75"/>
  <c r="F50" i="75"/>
  <c r="H46" i="75"/>
  <c r="G46" i="75"/>
  <c r="F46" i="75"/>
  <c r="H45" i="75"/>
  <c r="G45" i="75"/>
  <c r="F45" i="75"/>
  <c r="H44" i="75"/>
  <c r="G44" i="75"/>
  <c r="F44" i="75"/>
  <c r="H43" i="75"/>
  <c r="G43" i="75"/>
  <c r="F43" i="75"/>
  <c r="H47" i="75"/>
  <c r="G47" i="75"/>
  <c r="F47" i="75"/>
  <c r="H41" i="75"/>
  <c r="G41" i="75"/>
  <c r="F41" i="75"/>
  <c r="H40" i="75"/>
  <c r="G40" i="75"/>
  <c r="F40" i="75"/>
  <c r="H39" i="75"/>
  <c r="G39" i="75"/>
  <c r="F39" i="75"/>
  <c r="H38" i="75"/>
  <c r="G38" i="75"/>
  <c r="F38" i="75"/>
  <c r="H37" i="75"/>
  <c r="G37" i="75"/>
  <c r="F37" i="75"/>
  <c r="H35" i="75"/>
  <c r="G35" i="75"/>
  <c r="F35" i="75"/>
  <c r="H34" i="75"/>
  <c r="G34" i="75"/>
  <c r="F34" i="75"/>
  <c r="H33" i="75"/>
  <c r="G33" i="75"/>
  <c r="F33" i="75"/>
  <c r="H32" i="75"/>
  <c r="G32" i="75"/>
  <c r="F32" i="75"/>
  <c r="H30" i="75"/>
  <c r="G30" i="75"/>
  <c r="F30" i="75"/>
  <c r="H28" i="75"/>
  <c r="G28" i="75"/>
  <c r="F28" i="75"/>
  <c r="H27" i="75"/>
  <c r="G27" i="75"/>
  <c r="F27" i="75"/>
  <c r="H26" i="75"/>
  <c r="G26" i="75"/>
  <c r="F26" i="75"/>
  <c r="H29" i="75"/>
  <c r="G29" i="75"/>
  <c r="F29" i="75"/>
  <c r="H24" i="75"/>
  <c r="G24" i="75"/>
  <c r="F24" i="75"/>
  <c r="H23" i="75"/>
  <c r="G23" i="75"/>
  <c r="F23" i="75"/>
  <c r="H21" i="75"/>
  <c r="G21" i="75"/>
  <c r="F21" i="75"/>
  <c r="H20" i="75"/>
  <c r="G20" i="75"/>
  <c r="F20" i="75"/>
  <c r="H22" i="75"/>
  <c r="G22" i="75"/>
  <c r="F22" i="75"/>
  <c r="H18" i="75"/>
  <c r="G18" i="75"/>
  <c r="F18" i="75"/>
  <c r="H17" i="75"/>
  <c r="G17" i="75"/>
  <c r="F17" i="75"/>
  <c r="H15" i="75"/>
  <c r="G15" i="75"/>
  <c r="F15" i="75"/>
  <c r="H14" i="75"/>
  <c r="G14" i="75"/>
  <c r="F14" i="75"/>
  <c r="H16" i="75"/>
  <c r="G16" i="75"/>
  <c r="F16" i="75"/>
  <c r="H12" i="75"/>
  <c r="G12" i="75"/>
  <c r="F12" i="75"/>
  <c r="H11" i="75"/>
  <c r="G11" i="75"/>
  <c r="F11" i="75"/>
  <c r="H9" i="75"/>
  <c r="G9" i="75"/>
  <c r="F9" i="75"/>
  <c r="H8" i="75"/>
  <c r="G8" i="75"/>
  <c r="F8" i="75"/>
  <c r="H10" i="75"/>
  <c r="G10" i="75"/>
  <c r="F10" i="75"/>
  <c r="H6" i="75"/>
  <c r="G6" i="75"/>
  <c r="F6" i="75"/>
  <c r="H5" i="75"/>
  <c r="G5" i="75"/>
  <c r="F5" i="75"/>
  <c r="H3" i="75"/>
  <c r="G3" i="75"/>
  <c r="F3" i="75"/>
  <c r="H2" i="75"/>
  <c r="G2" i="75"/>
  <c r="F2" i="75"/>
  <c r="H4" i="75"/>
  <c r="G4" i="75"/>
  <c r="F4" i="75"/>
  <c r="J68" i="52"/>
  <c r="J187" i="52"/>
</calcChain>
</file>

<file path=xl/sharedStrings.xml><?xml version="1.0" encoding="utf-8"?>
<sst xmlns="http://schemas.openxmlformats.org/spreadsheetml/2006/main" count="6486" uniqueCount="870">
  <si>
    <t>Email</t>
  </si>
  <si>
    <t>Name</t>
  </si>
  <si>
    <t>Program</t>
  </si>
  <si>
    <t>Mode</t>
  </si>
  <si>
    <t>Class</t>
  </si>
  <si>
    <t>Project</t>
  </si>
  <si>
    <t>Product Owner</t>
  </si>
  <si>
    <t>Email2</t>
  </si>
  <si>
    <t>Affiliation</t>
  </si>
  <si>
    <t>Product Owner Job Title</t>
  </si>
  <si>
    <t>Prog Mem</t>
  </si>
  <si>
    <t>Total</t>
  </si>
  <si>
    <t>Role</t>
  </si>
  <si>
    <t>Approved</t>
  </si>
  <si>
    <t>Project Status</t>
  </si>
  <si>
    <t>Week 1</t>
  </si>
  <si>
    <t>Week 2</t>
  </si>
  <si>
    <t>Week 3</t>
  </si>
  <si>
    <t>Week 4</t>
  </si>
  <si>
    <t>Week 5</t>
  </si>
  <si>
    <t>Week 6</t>
  </si>
  <si>
    <t>Week 7</t>
  </si>
  <si>
    <t>Week 8</t>
  </si>
  <si>
    <t>Week 9</t>
  </si>
  <si>
    <t>Week 10</t>
  </si>
  <si>
    <t>Week 11</t>
  </si>
  <si>
    <t>Week 12</t>
  </si>
  <si>
    <t>Week 13</t>
  </si>
  <si>
    <t>Week 14</t>
  </si>
  <si>
    <t>spain002@fiu.edu</t>
  </si>
  <si>
    <t>Painchault,Stephanie</t>
  </si>
  <si>
    <t>Computer Science</t>
  </si>
  <si>
    <t>In Person</t>
  </si>
  <si>
    <t>Capstone 2</t>
  </si>
  <si>
    <t>Computer Science: AI Medical Diagnosis Assistant</t>
  </si>
  <si>
    <t>Team Lead</t>
  </si>
  <si>
    <t>Highly Active</t>
  </si>
  <si>
    <t>gdiaz196@fiu.edu</t>
  </si>
  <si>
    <t>Diaz,Gavin Michael</t>
  </si>
  <si>
    <t>plad002@fiu.edu</t>
  </si>
  <si>
    <t>Lad,Pooja</t>
  </si>
  <si>
    <t>apowe056@fiu.edu</t>
  </si>
  <si>
    <t>Power,Anncarolyne</t>
  </si>
  <si>
    <t>rserr038@fiu.edu</t>
  </si>
  <si>
    <t>Serralta,Rebeca Anaïs</t>
  </si>
  <si>
    <t>dhern439@fiu.edu</t>
  </si>
  <si>
    <t>Hernandez,Diego Andres</t>
  </si>
  <si>
    <t>Computer Science: AI-Driven Topic and Sentiment Analysis of Patient Safety Comments</t>
  </si>
  <si>
    <t>galon049@fiu.edu</t>
  </si>
  <si>
    <t>Alonso,Gunther</t>
  </si>
  <si>
    <t>dcamp132@fiu.edu</t>
  </si>
  <si>
    <t>Campos,Didier Alessando</t>
  </si>
  <si>
    <t>troch008@fiu.edu</t>
  </si>
  <si>
    <t>Rocha,Timothy A.</t>
  </si>
  <si>
    <t>bsilv068@fiu.edu</t>
  </si>
  <si>
    <t>Silva Jr,Bosco</t>
  </si>
  <si>
    <t>mkhan178@fiu.edu</t>
  </si>
  <si>
    <t>Khan,Momin Salar</t>
  </si>
  <si>
    <t>Computer Science: AI-Driven Warehouse Stock Management</t>
  </si>
  <si>
    <t>abano011@fiu.edu</t>
  </si>
  <si>
    <t>Banov,Angela Rumenov</t>
  </si>
  <si>
    <t>mcobo014@fiu.edu</t>
  </si>
  <si>
    <t>Cobos,Matthew</t>
  </si>
  <si>
    <t>vnovo007@fiu.edu</t>
  </si>
  <si>
    <t>Novo Grifol,Vianne</t>
  </si>
  <si>
    <t>spala038@fiu.edu</t>
  </si>
  <si>
    <t>Palacios,Steven S</t>
  </si>
  <si>
    <t>oodun003@fiu.edu</t>
  </si>
  <si>
    <t>Oduntan,Olamide Mercy</t>
  </si>
  <si>
    <t>Computer Science: ArtCollab</t>
  </si>
  <si>
    <t>rbarr154@fiu.edu</t>
  </si>
  <si>
    <t>Barrera,Rodrigo</t>
  </si>
  <si>
    <t>afolg006@fiu.edu</t>
  </si>
  <si>
    <t>Folgueira,Alejandro</t>
  </si>
  <si>
    <t>Somewhat Active</t>
  </si>
  <si>
    <t>lpena087@fiu.edu</t>
  </si>
  <si>
    <t>Pena Barrientos,Laura Michelle</t>
  </si>
  <si>
    <t>dsara011@fiu.edu</t>
  </si>
  <si>
    <t>Sarante,Diego</t>
  </si>
  <si>
    <t>arodr1814@fiu.edu</t>
  </si>
  <si>
    <t>Rodriguez,Abner</t>
  </si>
  <si>
    <t>Computer Science: Audio- and AI-Based Movie Genre and Rating Detector</t>
  </si>
  <si>
    <t>acont115@fiu.edu</t>
  </si>
  <si>
    <t>Contreras,Alfonso Isai</t>
  </si>
  <si>
    <t>kmart319@fiu.edu</t>
  </si>
  <si>
    <t>Martin,Kenneth Bradley</t>
  </si>
  <si>
    <t>cnava094@fiu.edu</t>
  </si>
  <si>
    <t>Navarro,Carlos</t>
  </si>
  <si>
    <t>ksanc165@fiu.edu</t>
  </si>
  <si>
    <t>Sanchez,Kevin Raphael</t>
  </si>
  <si>
    <t>ldelg093@fiu.edu</t>
  </si>
  <si>
    <t>Delgado,Luis</t>
  </si>
  <si>
    <t>Computer Science: BriskRecall</t>
  </si>
  <si>
    <t>gdemo007@fiu.edu</t>
  </si>
  <si>
    <t>Demosthene,Gaeldesh Benit</t>
  </si>
  <si>
    <t>ahern820@fiu.edu</t>
  </si>
  <si>
    <t>Hernandez,Andres Gerardo</t>
  </si>
  <si>
    <t>amace012@fiu.edu</t>
  </si>
  <si>
    <t>Macedo Oliveira, Ana</t>
  </si>
  <si>
    <t>bali011@fiu.edu</t>
  </si>
  <si>
    <t>Ali,Baha</t>
  </si>
  <si>
    <t>Computer Science: Campus Assistant</t>
  </si>
  <si>
    <t>mdebe011@fiu.edu</t>
  </si>
  <si>
    <t>De Bedout Arango,Martin</t>
  </si>
  <si>
    <t>fdela046@fiu.edu</t>
  </si>
  <si>
    <t>Delaguardia,Fernand Raul</t>
  </si>
  <si>
    <t>jpess003@fiu.edu</t>
  </si>
  <si>
    <t>Pessela,Javier</t>
  </si>
  <si>
    <t>rzamo019@fiu.edu</t>
  </si>
  <si>
    <t>Zamora, Ryan</t>
  </si>
  <si>
    <t>Online</t>
  </si>
  <si>
    <t>pmand010@fiu.edu</t>
  </si>
  <si>
    <t>Mandell,Pierson Philip</t>
  </si>
  <si>
    <t>Computer Science: Campus Social Media App</t>
  </si>
  <si>
    <t>jbenn058@fiu.edu</t>
  </si>
  <si>
    <t>Bennett,Jernai Kellicia</t>
  </si>
  <si>
    <t>jberd008@fiu.edu</t>
  </si>
  <si>
    <t>Berdeal,Jeffrey Patrick</t>
  </si>
  <si>
    <t>jcarm057@fiu.edu</t>
  </si>
  <si>
    <t>Carmenate,Jorge Ernesto</t>
  </si>
  <si>
    <t>eko004@fiu.edu</t>
  </si>
  <si>
    <t>Ko,Euikyun</t>
  </si>
  <si>
    <t>jcarb079@fiu.edu</t>
  </si>
  <si>
    <t>Carballosa,Jin</t>
  </si>
  <si>
    <t>Computer Science: Canvas AI Assistant</t>
  </si>
  <si>
    <t>aabra086@fiu.edu</t>
  </si>
  <si>
    <t>Abrahantes,Alberto</t>
  </si>
  <si>
    <t>nchok004@fiu.edu</t>
  </si>
  <si>
    <t>Chokkalla,Nitin</t>
  </si>
  <si>
    <t>srodr612@fiu.edu</t>
  </si>
  <si>
    <t>Rodriguez,Sebastian</t>
  </si>
  <si>
    <t>evela072@fiu.edu</t>
  </si>
  <si>
    <t>Velarde,Edgar Daniel</t>
  </si>
  <si>
    <t>sagui088@fiu.edu</t>
  </si>
  <si>
    <t>Aguilar,Sandy</t>
  </si>
  <si>
    <t>Computer Science: Cloud Cost Optimizer Dashboard</t>
  </si>
  <si>
    <t>yblan021@fiu.edu</t>
  </si>
  <si>
    <t>Blanco Montequin,Yasser</t>
  </si>
  <si>
    <t>dgonz692@fiu.edu</t>
  </si>
  <si>
    <t>Gonzalez,Daniel</t>
  </si>
  <si>
    <t>fvald035@fiu.edu</t>
  </si>
  <si>
    <t>Valdes,Favio David</t>
  </si>
  <si>
    <t>iruiz053@fiu.edu</t>
  </si>
  <si>
    <t>eques018@fiu.edu</t>
  </si>
  <si>
    <t>Quesada,Elier Manuel</t>
  </si>
  <si>
    <t>Computer Science: Computing a Watchman Route in a Body of Water for Two Boats</t>
  </si>
  <si>
    <t>rante008@fiu.edu</t>
  </si>
  <si>
    <t>Antenor,Rosny</t>
  </si>
  <si>
    <t>abien019@fiu.edu</t>
  </si>
  <si>
    <t>Bien-Aime,Anaika D.</t>
  </si>
  <si>
    <t>yhabo001@fiu.edu</t>
  </si>
  <si>
    <t>Habouh,Yousuf M</t>
  </si>
  <si>
    <t>rherr079@fiu.edu</t>
  </si>
  <si>
    <t>Herrero,Raul</t>
  </si>
  <si>
    <t>gprie023@fiu.edu</t>
  </si>
  <si>
    <t>Prieto,Gabriel Andres</t>
  </si>
  <si>
    <t>salva195@fiu.edu</t>
  </si>
  <si>
    <t>Alvarado,Sabrina</t>
  </si>
  <si>
    <t>Computer Science: Context-Aware Conversation Support with Augmented Reality and Generative AI</t>
  </si>
  <si>
    <t>jmart1062@fiu.edu</t>
  </si>
  <si>
    <t>Martinez,Jonathan Alexander</t>
  </si>
  <si>
    <t>amora487@fiu.edu</t>
  </si>
  <si>
    <t>Morales,Ana Rita</t>
  </si>
  <si>
    <t>Mostly Inactive</t>
  </si>
  <si>
    <t>Missing In Action</t>
  </si>
  <si>
    <t>ppass004@fiu.edu</t>
  </si>
  <si>
    <t>Passos,Peace</t>
  </si>
  <si>
    <t>krive138@fiu.edu</t>
  </si>
  <si>
    <t>Rivera,Keren Alejandra</t>
  </si>
  <si>
    <t>aargu069@fiu.edu</t>
  </si>
  <si>
    <t>Arguelles,Alex</t>
  </si>
  <si>
    <t>Computer Science: Embedded Programming Copilot Agent (IC-Specific AI Assistant)</t>
  </si>
  <si>
    <t>ddelv022@fiu.edu</t>
  </si>
  <si>
    <t>Del Valle,Diego Rafael</t>
  </si>
  <si>
    <t>hpitt008@fiu.edu</t>
  </si>
  <si>
    <t>Pitta Laranjinha,Henrique</t>
  </si>
  <si>
    <t>dquin144@fiu.edu</t>
  </si>
  <si>
    <t>Quinones,David Jose</t>
  </si>
  <si>
    <t>hkedd001@fiu.edu</t>
  </si>
  <si>
    <t>Keddees,Hossam</t>
  </si>
  <si>
    <t>Computer Science: Framing by Design: Teaching Empathy and Problem Definition through Game-Based Learning</t>
  </si>
  <si>
    <t>bdiaz124@fiu.edu</t>
  </si>
  <si>
    <t>Diaz,Bryan William</t>
  </si>
  <si>
    <t>jlowe042@fiu.edu</t>
  </si>
  <si>
    <t>Lowe Rodrigues,Joshua Tobias</t>
  </si>
  <si>
    <t>mrago005@fiu.edu</t>
  </si>
  <si>
    <t>Ragoobar,Marcus Rajiv</t>
  </si>
  <si>
    <t>bfern152@fiu.edu</t>
  </si>
  <si>
    <t>Fernandez,Bryan Alexander</t>
  </si>
  <si>
    <t>Computer Science: Gamified Habit Tracker: Leveling Up Everyday Routines</t>
  </si>
  <si>
    <t>abhog002@fiu.edu</t>
  </si>
  <si>
    <t>Bhogi,Abhiram</t>
  </si>
  <si>
    <t>jlaor001@fiu.edu</t>
  </si>
  <si>
    <t>Lao Romero,Juan Ignacio</t>
  </si>
  <si>
    <t>gullo009@fiu.edu</t>
  </si>
  <si>
    <t>Ulloa,George</t>
  </si>
  <si>
    <t>sweek011@fiu.edu</t>
  </si>
  <si>
    <t>Weekes,Shamar</t>
  </si>
  <si>
    <t>gabbo008@fiu.edu</t>
  </si>
  <si>
    <t>Abboud,Giorgio Michael</t>
  </si>
  <si>
    <t>Computer Science: Green Vault - Uncovering hidden trade costs and analysis</t>
  </si>
  <si>
    <t>mdagh002@fiu.edu</t>
  </si>
  <si>
    <t>Dagher,Malik Wajih</t>
  </si>
  <si>
    <t>agame019@fiu.edu</t>
  </si>
  <si>
    <t>Gamero,Audrey Alexandra</t>
  </si>
  <si>
    <t>dlaco006@fiu.edu</t>
  </si>
  <si>
    <t>Lacotera,Daniella</t>
  </si>
  <si>
    <t>rmuno056@fiu.edu</t>
  </si>
  <si>
    <t>Munoz Salas,Rodrigo</t>
  </si>
  <si>
    <t>pvill044@fiu.edu</t>
  </si>
  <si>
    <t>Villegas,Pedro</t>
  </si>
  <si>
    <t>Computer Science: HandyMen Now</t>
  </si>
  <si>
    <t>jarro055@fiu.edu</t>
  </si>
  <si>
    <t>Arroyave,Juansimon Duque</t>
  </si>
  <si>
    <t>acoza005@fiu.edu</t>
  </si>
  <si>
    <t>Cozar Fraus,Alexandra Fernandez</t>
  </si>
  <si>
    <t>jegbo003@fiu.edu</t>
  </si>
  <si>
    <t>Egbodo,Jeremiah Onayinyoohe</t>
  </si>
  <si>
    <t>zsadi002@fiu.edu</t>
  </si>
  <si>
    <t xml:space="preserve">Sadid, Zubayer Ahmed </t>
  </si>
  <si>
    <t>brece001@fiu.edu</t>
  </si>
  <si>
    <t>Recendiz,Bianca Briset</t>
  </si>
  <si>
    <t>Computer Science: HouseholdHub</t>
  </si>
  <si>
    <t>mburb010@fiu.edu</t>
  </si>
  <si>
    <t>Burbano,Monica</t>
  </si>
  <si>
    <t>cesco062@fiu.edu</t>
  </si>
  <si>
    <t>Escobar Gonzalez,Carlos R</t>
  </si>
  <si>
    <t>bgarc209@fiu.edu</t>
  </si>
  <si>
    <t>Garcia,Brian</t>
  </si>
  <si>
    <t>lrece001@fiu.edu</t>
  </si>
  <si>
    <t>Recendiz,Lesly Briset</t>
  </si>
  <si>
    <t>jmesa074@fiu.edu</t>
  </si>
  <si>
    <t>Mesa,Jennifer</t>
  </si>
  <si>
    <t>Computer Science: LearnCode Game</t>
  </si>
  <si>
    <t>aduar052@fiu.edu</t>
  </si>
  <si>
    <t>Duarte,Angel</t>
  </si>
  <si>
    <t>jlope822@fiu.edu</t>
  </si>
  <si>
    <t>Lopez,Jaqueline Lizeth</t>
  </si>
  <si>
    <t>amart1234@fiu.edu</t>
  </si>
  <si>
    <t>Martinez,Ana Maria</t>
  </si>
  <si>
    <t>jnova023@fiu.edu</t>
  </si>
  <si>
    <t>Novak,Julian</t>
  </si>
  <si>
    <t>cmcph007@fiu.edu</t>
  </si>
  <si>
    <t>McPhee,Christoph</t>
  </si>
  <si>
    <t>Computer Science: Loan Validation</t>
  </si>
  <si>
    <t>eblan065@fiu.edu</t>
  </si>
  <si>
    <t>Blanco,Ernesto David</t>
  </si>
  <si>
    <t>mrest046@fiu.edu</t>
  </si>
  <si>
    <t>Restrepo,Miguel Angel</t>
  </si>
  <si>
    <t>ahued002@fiu.edu</t>
  </si>
  <si>
    <t>Hued,Alexander</t>
  </si>
  <si>
    <t>Computer Science: Mobile app for coding practice</t>
  </si>
  <si>
    <t>abust071@fiu.edu</t>
  </si>
  <si>
    <t>Bustinza,Amanda Elizabeth</t>
  </si>
  <si>
    <t>ndelg052@fiu.edu</t>
  </si>
  <si>
    <t>Delgado,Nicholas Alexander</t>
  </si>
  <si>
    <t>pmont079@fiu.edu</t>
  </si>
  <si>
    <t>Montejo,Paola Belen</t>
  </si>
  <si>
    <t>Computer Science: Mood-Based Playlist Recommender</t>
  </si>
  <si>
    <t>mcubi009@fiu.edu</t>
  </si>
  <si>
    <t>Cubillos,Mauricio Alejandro</t>
  </si>
  <si>
    <t>rdami007@fiu.edu</t>
  </si>
  <si>
    <t>Damiscar,Roseline Jean</t>
  </si>
  <si>
    <t>zmore016@fiu.edu</t>
  </si>
  <si>
    <t>Moreno,Zara</t>
  </si>
  <si>
    <t>asala200@fiu.edu</t>
  </si>
  <si>
    <t>Salazar,Angie Paulina</t>
  </si>
  <si>
    <t>jquin229@fiu.edu</t>
  </si>
  <si>
    <t>Quinonez,Josue</t>
  </si>
  <si>
    <t>Computer Science: MyMedCab - Medication Management System</t>
  </si>
  <si>
    <t>kbeli009@fiu.edu</t>
  </si>
  <si>
    <t>Belizaire,Kendrick</t>
  </si>
  <si>
    <t>ccalz009@fiu.edu</t>
  </si>
  <si>
    <t>Calzadilla Soto,Cesar</t>
  </si>
  <si>
    <t>desco057@fiu.edu</t>
  </si>
  <si>
    <t>Escobar,Daniel</t>
  </si>
  <si>
    <t>fport021@fiu.edu</t>
  </si>
  <si>
    <t>Portobanco,Francine Alina</t>
  </si>
  <si>
    <t>ofata002@fiu.edu</t>
  </si>
  <si>
    <t>Fataliyev,Orkhan</t>
  </si>
  <si>
    <t>Computer Science: Resume Screening AI</t>
  </si>
  <si>
    <t>mcast592@fiu.edu</t>
  </si>
  <si>
    <t>Castiblanco Melendez,Miguel Angel</t>
  </si>
  <si>
    <t>socho021@fiu.edu</t>
  </si>
  <si>
    <t>Ochotorena,Sebastian Pablo</t>
  </si>
  <si>
    <t>jvarg137@fiu.edu</t>
  </si>
  <si>
    <t>Vargas,Jesus Andres</t>
  </si>
  <si>
    <t>dvyso001@fiu.edu</t>
  </si>
  <si>
    <t>Vysokos,Daniel</t>
  </si>
  <si>
    <t>aorte138@fiu.edu</t>
  </si>
  <si>
    <t>Ortega Arrieta,Alessandra</t>
  </si>
  <si>
    <t>Computer Science: SHE&lt;Codes/&gt; - Inspiring Young Women and Queer Youth in STEM</t>
  </si>
  <si>
    <t>rchev007@fiu.edu</t>
  </si>
  <si>
    <t>Chevannes,Rajiv</t>
  </si>
  <si>
    <t>bgent005@fiu.edu</t>
  </si>
  <si>
    <t>Gentil,Bruna</t>
  </si>
  <si>
    <t>frahi003@fiu.edu</t>
  </si>
  <si>
    <t>Rahin,Farjana Islam</t>
  </si>
  <si>
    <t>gsuar092@fiu.edu</t>
  </si>
  <si>
    <t>Suarez,Gabriel</t>
  </si>
  <si>
    <t>vnguy054@fiu.edu</t>
  </si>
  <si>
    <t>Nguyen,Van Duc</t>
  </si>
  <si>
    <t xml:space="preserve">Computer Science: Smart Appointment Scheduler </t>
  </si>
  <si>
    <t>prami051@fiu.edu</t>
  </si>
  <si>
    <t>Ramirez-Amado,Piero Alessandro</t>
  </si>
  <si>
    <t>arobi127@fiu.edu</t>
  </si>
  <si>
    <t>Robinson jr,Armand Alexander</t>
  </si>
  <si>
    <t>zshep001@fiu.edu</t>
  </si>
  <si>
    <t>Shepard,Zachary</t>
  </si>
  <si>
    <t>jmies004@fiu.edu</t>
  </si>
  <si>
    <t>Mieses,Juan A</t>
  </si>
  <si>
    <t>Computer Science: SpineWise</t>
  </si>
  <si>
    <t>jbras020@fiu.edu</t>
  </si>
  <si>
    <t>Brasil,Javier</t>
  </si>
  <si>
    <t>okrai001@fiu.edu</t>
  </si>
  <si>
    <t>Krainyk,Oleh</t>
  </si>
  <si>
    <t>jpena176@fiu.edu</t>
  </si>
  <si>
    <t>Pena,Jason</t>
  </si>
  <si>
    <t>jpena173@fiu.edu</t>
  </si>
  <si>
    <t>Pena,John</t>
  </si>
  <si>
    <t>jpere1079@fiu.edu</t>
  </si>
  <si>
    <t>Pereira,Jorge</t>
  </si>
  <si>
    <t>Computer Science: Staria Workout App</t>
  </si>
  <si>
    <t>jmene096@fiu.edu</t>
  </si>
  <si>
    <t>Menendez,Jose Raul</t>
  </si>
  <si>
    <t>hmong003@fiu.edu</t>
  </si>
  <si>
    <t>Monguia Bolado,Humberto</t>
  </si>
  <si>
    <t>arodr1834@fiu.edu</t>
  </si>
  <si>
    <t>Rodriguez Garcia,Alejandro De Jesus</t>
  </si>
  <si>
    <t>sbosc008@fiu.edu</t>
  </si>
  <si>
    <t>Boscan,Santiago</t>
  </si>
  <si>
    <t>Computer Science: Stress and anxiety management app</t>
  </si>
  <si>
    <t>sboba002@fiu.edu</t>
  </si>
  <si>
    <t>Bobadilla,Sidney Ann</t>
  </si>
  <si>
    <t>acabr170@fiu.edu</t>
  </si>
  <si>
    <t>Cabrera,Adolfo A</t>
  </si>
  <si>
    <t>dvasq042@fiu.edu</t>
  </si>
  <si>
    <t>Vasquez,David Andres</t>
  </si>
  <si>
    <t>mnaqv002@fiu.edu</t>
  </si>
  <si>
    <t>Naqvi,Mohammad</t>
  </si>
  <si>
    <t>Computer Science: Synthetic L3 Orderbook Data Generator</t>
  </si>
  <si>
    <t>lmore140@fiu.edu</t>
  </si>
  <si>
    <t>Moreno,Luis</t>
  </si>
  <si>
    <t>sroqu019@fiu.edu</t>
  </si>
  <si>
    <t>Roque,Stephano Manuel</t>
  </si>
  <si>
    <t>mgira048@fiu.edu</t>
  </si>
  <si>
    <t>Giraldo,Michael Nicholas</t>
  </si>
  <si>
    <t>Computer Science: Tailored Tails</t>
  </si>
  <si>
    <t>agarc1316@fiu.edu</t>
  </si>
  <si>
    <t>Garcia Villacis,Andres Alejandro</t>
  </si>
  <si>
    <t>mkish002@fiu.edu</t>
  </si>
  <si>
    <t>Kisha,Mohamed</t>
  </si>
  <si>
    <t>rsano008@fiu.edu</t>
  </si>
  <si>
    <t>Sanon,Rickny</t>
  </si>
  <si>
    <t>cgarc669@fiu.edu</t>
  </si>
  <si>
    <t>Garcia,Christian</t>
  </si>
  <si>
    <t>Computer Science: TapIn MMA</t>
  </si>
  <si>
    <t>kferr066@fiu.edu</t>
  </si>
  <si>
    <t>Ferrer,Kevin Jonathan</t>
  </si>
  <si>
    <t>bgouv002@fiu.edu</t>
  </si>
  <si>
    <t>Gouveia,Bruno Angel</t>
  </si>
  <si>
    <t>vprat004@fiu.edu</t>
  </si>
  <si>
    <t>Prato,Vladimir Adalberto</t>
  </si>
  <si>
    <t>farbu001@fiu.edu</t>
  </si>
  <si>
    <t>Arbucias,Felix</t>
  </si>
  <si>
    <t>Computer Science: TrueDoor</t>
  </si>
  <si>
    <t>jcorb019@fiu.edu</t>
  </si>
  <si>
    <t>Corbacho Soubal,John Maikol</t>
  </si>
  <si>
    <t>pmart186@fiu.edu</t>
  </si>
  <si>
    <t>Martinez,Pablo</t>
  </si>
  <si>
    <t>itorr072@fiu.edu</t>
  </si>
  <si>
    <t>Torres,Isaac</t>
  </si>
  <si>
    <t>atouz011@fiu.edu</t>
  </si>
  <si>
    <t>Touze,Alan Emmanuel</t>
  </si>
  <si>
    <t>dgonz591@fiu.edu</t>
  </si>
  <si>
    <t>Gonzalez Lemus,Daniel Ernesto</t>
  </si>
  <si>
    <t>Dropped</t>
  </si>
  <si>
    <t>jgord101@fiu.edu</t>
  </si>
  <si>
    <t>Gordon,Jonathan Howard</t>
  </si>
  <si>
    <t>njuma004@fiu.edu</t>
  </si>
  <si>
    <t>Juman,Nicholas Ali</t>
  </si>
  <si>
    <t>epere548@fiu.edu</t>
  </si>
  <si>
    <t>Pereda Jr,Erik Ernesto</t>
  </si>
  <si>
    <t>Cybersecurity</t>
  </si>
  <si>
    <t>Cybersecurity: AI Race Strategist</t>
  </si>
  <si>
    <t>rcont033@fiu.edu</t>
  </si>
  <si>
    <t>Contreras,Reinaldo E</t>
  </si>
  <si>
    <t>jdavi405@fiu.edu</t>
  </si>
  <si>
    <t>Davis,Jamahl Piersson</t>
  </si>
  <si>
    <t>afran280@fiu.edu</t>
  </si>
  <si>
    <t>Francis,Ashley</t>
  </si>
  <si>
    <t>svarg087@fiu.edu</t>
  </si>
  <si>
    <t>Vargas,Santiago</t>
  </si>
  <si>
    <t>igome062@fiu.edu</t>
  </si>
  <si>
    <t>Gomez,Isis</t>
  </si>
  <si>
    <t xml:space="preserve">Cybersecurity: Cybersecurity: Training Simulator for Cyber Security Employee </t>
  </si>
  <si>
    <t>mconr009@fiu.edu</t>
  </si>
  <si>
    <t>Conrad,Manuel Andres</t>
  </si>
  <si>
    <t>khaus006@fiu.edu</t>
  </si>
  <si>
    <t>Hausheer,Kirei</t>
  </si>
  <si>
    <t>mnova024@fiu.edu</t>
  </si>
  <si>
    <t>Novas,Michael Anthony</t>
  </si>
  <si>
    <t>jprad026@fiu.edu</t>
  </si>
  <si>
    <t>Prado,Joaquin H</t>
  </si>
  <si>
    <t>rhame001@fiu.edu</t>
  </si>
  <si>
    <t>Hamel,Ryan</t>
  </si>
  <si>
    <t>Cybersecurity: Deploying a SIEM in Microsoft Azure</t>
  </si>
  <si>
    <t>mesco114@fiu.edu</t>
  </si>
  <si>
    <t>Escobar,Mateo Julian</t>
  </si>
  <si>
    <t>nfuen034@fiu.edu</t>
  </si>
  <si>
    <t>Fuentes,Nikohl Hidalys</t>
  </si>
  <si>
    <t>smedi096@fiu.edu</t>
  </si>
  <si>
    <t>Medina,Sebastian Jose</t>
  </si>
  <si>
    <t>mmora426@fiu.edu</t>
  </si>
  <si>
    <t>Mora,Marian</t>
  </si>
  <si>
    <t>cdomi090@fiu.edu</t>
  </si>
  <si>
    <t>Dominguez,Christian</t>
  </si>
  <si>
    <t>Cybersecurity: Lock and Key: Encrypted Password Management and Collaboration System</t>
  </si>
  <si>
    <t>mball074@fiu.edu</t>
  </si>
  <si>
    <t>Ballart,Mauricio</t>
  </si>
  <si>
    <t>aespi237@fiu.edu</t>
  </si>
  <si>
    <t>Espinoza,Alberto Andres</t>
  </si>
  <si>
    <t>ahenk004@fiu.edu</t>
  </si>
  <si>
    <t>Henkel,Alexis L</t>
  </si>
  <si>
    <t>iquin024@fiu.edu</t>
  </si>
  <si>
    <t>Quintero,Isaac Akeem</t>
  </si>
  <si>
    <t>mchaa003@fiu.edu</t>
  </si>
  <si>
    <t>Chaar,Matthew</t>
  </si>
  <si>
    <t>Cybersecurity: Lockstep - 2FA</t>
  </si>
  <si>
    <t>jaran109@fiu.edu</t>
  </si>
  <si>
    <t>Aranzazu,Joshua</t>
  </si>
  <si>
    <t>jcont076@fiu.edu</t>
  </si>
  <si>
    <t>Conte,Joshua</t>
  </si>
  <si>
    <t>eparr027@fiu.edu</t>
  </si>
  <si>
    <t>Parrado Arango,Eduardo</t>
  </si>
  <si>
    <t>nrodr434@fiu.edu</t>
  </si>
  <si>
    <t>Rodriguez,Nelson Eduardo</t>
  </si>
  <si>
    <t>bgerb004@fiu.edu</t>
  </si>
  <si>
    <t>Gerber,Brandon</t>
  </si>
  <si>
    <t>Cybersecurity: PhishEye</t>
  </si>
  <si>
    <t>gbapt012@fiu.edu</t>
  </si>
  <si>
    <t>Baptista,Giovanni Garcia</t>
  </si>
  <si>
    <t>jcasa111@fiu.edu</t>
  </si>
  <si>
    <t>Casale,Justin</t>
  </si>
  <si>
    <t>mhern881@fiu.edu</t>
  </si>
  <si>
    <t>Hernandez,Maikol</t>
  </si>
  <si>
    <t>bmoul004@fiu.edu</t>
  </si>
  <si>
    <t>Moulheres,Bruno Almeida</t>
  </si>
  <si>
    <t>enaka002@fiu.edu</t>
  </si>
  <si>
    <t>Nakamura,Elvis</t>
  </si>
  <si>
    <t>Cybersecurity: Profiling Ransomware Attacks via Web Crawling and Textual Analysis</t>
  </si>
  <si>
    <t>jarte017@fiu.edu</t>
  </si>
  <si>
    <t>Arteaga,Jordan Andrew</t>
  </si>
  <si>
    <t>ploor002@fiu.edu</t>
  </si>
  <si>
    <t>Loor,Pedro Nestor</t>
  </si>
  <si>
    <t>kmont128@fiu.edu</t>
  </si>
  <si>
    <t>Montenegro,kevin</t>
  </si>
  <si>
    <t>lsalg016@fiu.edu</t>
  </si>
  <si>
    <t>Salgado,Luis</t>
  </si>
  <si>
    <t>sdumi001@fiu.edu</t>
  </si>
  <si>
    <t>Dumitrasku,Stefan</t>
  </si>
  <si>
    <t>Cybersecurity: Secure Med</t>
  </si>
  <si>
    <t>jburg109@fiu.edu</t>
  </si>
  <si>
    <t>Burgos,Jordan Lee</t>
  </si>
  <si>
    <t>jluzi002@fiu.edu</t>
  </si>
  <si>
    <t>Luzincourt,Jeremiah J</t>
  </si>
  <si>
    <t>asala203@fiu.edu</t>
  </si>
  <si>
    <t>Salazar,Ana Sofia</t>
  </si>
  <si>
    <t>mtahi006@fiu.edu</t>
  </si>
  <si>
    <t>Tahir,Mumin</t>
  </si>
  <si>
    <t>dfigu048@fiu.edu</t>
  </si>
  <si>
    <t>Figueroa-Gonzalez,Damian</t>
  </si>
  <si>
    <t>Cybersecurity: USB Drop Attacks</t>
  </si>
  <si>
    <t>bandi007@fiu.edu</t>
  </si>
  <si>
    <t>Andino,Barbara Michelle</t>
  </si>
  <si>
    <t>adige003@fiu.edu</t>
  </si>
  <si>
    <t>Digennaro,Amelia</t>
  </si>
  <si>
    <t>mhuss043@fiu.edu</t>
  </si>
  <si>
    <t>Hussein,Moath</t>
  </si>
  <si>
    <t>ljime080@fiu.edu</t>
  </si>
  <si>
    <t>Jimenez Guerra,Luis Daniel</t>
  </si>
  <si>
    <t>Data Science Art Intelligence</t>
  </si>
  <si>
    <t>chern547@fiu.edu</t>
  </si>
  <si>
    <t>Hernandez,Carlos</t>
  </si>
  <si>
    <t>dfuen050@fiu.edu</t>
  </si>
  <si>
    <t>Fuentes,Daniella</t>
  </si>
  <si>
    <t>Information Technology</t>
  </si>
  <si>
    <t>Information Technology: AI Mock Interview Prep</t>
  </si>
  <si>
    <t>lblai016@fiu.edu</t>
  </si>
  <si>
    <t>Blais,Lindsey M</t>
  </si>
  <si>
    <t>nstri010@fiu.edu</t>
  </si>
  <si>
    <t>Strickland,Nakisha</t>
  </si>
  <si>
    <t>bhern215@fiu.edu</t>
  </si>
  <si>
    <t>Hernandez,Bryan Alexander</t>
  </si>
  <si>
    <t>Information technology: Automated Dev Environment Builder</t>
  </si>
  <si>
    <t>bgarc211@fiu.edu</t>
  </si>
  <si>
    <t>Garcia, Bryan Alberto</t>
  </si>
  <si>
    <t>ajaim025@fiu.edu</t>
  </si>
  <si>
    <t>Jaimes,Andres Eduardo</t>
  </si>
  <si>
    <t>tmizr003@fiu.edu</t>
  </si>
  <si>
    <t>Mizrachi,Tom</t>
  </si>
  <si>
    <t>cpere684@fiu.edu</t>
  </si>
  <si>
    <t>Pereyra,Cesar</t>
  </si>
  <si>
    <t>gcurr011@fiu.edu</t>
  </si>
  <si>
    <t>Curry,Giovanna Melinda</t>
  </si>
  <si>
    <t>Information Technology: Automated Network Configuration for IT Environements</t>
  </si>
  <si>
    <t>kaura001@fiu.edu</t>
  </si>
  <si>
    <t>Aurand,Kelly</t>
  </si>
  <si>
    <t>ablan166@fiu.edu</t>
  </si>
  <si>
    <t>Blanco,Anatholy Xavier</t>
  </si>
  <si>
    <t>ablan166@fiu.du</t>
  </si>
  <si>
    <t>sgamb025@fiu.edu</t>
  </si>
  <si>
    <t>Gamboa,Sebastian Andres</t>
  </si>
  <si>
    <t>cmais005@fiu.edu</t>
  </si>
  <si>
    <t>Mais,Cecil</t>
  </si>
  <si>
    <t>jmcnu007@fiu.edu</t>
  </si>
  <si>
    <t>Mcnulty-Lamparter,Joseph Alexander</t>
  </si>
  <si>
    <t>Information Technology: Business Asset Management WebApp</t>
  </si>
  <si>
    <t>ccruz182@fiu.edu</t>
  </si>
  <si>
    <t>Cruz Teruel,Claudia</t>
  </si>
  <si>
    <t>dmoor095@fiu.edu</t>
  </si>
  <si>
    <t>Moore,David Michael Lawrence</t>
  </si>
  <si>
    <t>opier014@fiu.edu</t>
  </si>
  <si>
    <t>Pierre,Ornans G</t>
  </si>
  <si>
    <t>eoliv080@fiu.edu</t>
  </si>
  <si>
    <t>Oliva,Esteban</t>
  </si>
  <si>
    <t>Information Technology: Cloud-Based Resume Builder</t>
  </si>
  <si>
    <t>lhick025@fiu.edu</t>
  </si>
  <si>
    <t>Hicks,Logan</t>
  </si>
  <si>
    <t>cjime107@fiu.edu</t>
  </si>
  <si>
    <t>Jimenez,Cesar Joshua</t>
  </si>
  <si>
    <t>cpeti023@fiu.edu</t>
  </si>
  <si>
    <t>Petit,Christopher Alex</t>
  </si>
  <si>
    <t>apine098@fiu.edu</t>
  </si>
  <si>
    <t>Pineda,Ambar Lucia</t>
  </si>
  <si>
    <t>jsand146@fiu.edu</t>
  </si>
  <si>
    <t>Sandoval, Jayden</t>
  </si>
  <si>
    <t>Information Technology: Computer Equipment Checkout Tracker</t>
  </si>
  <si>
    <t>jalsa004@fiu.edu</t>
  </si>
  <si>
    <t>Alsadah,Josein Ameen</t>
  </si>
  <si>
    <t>sgonz558@fiu.edu</t>
  </si>
  <si>
    <t>Gonzalez,Samuel</t>
  </si>
  <si>
    <t>rocam013@fiu.edu</t>
  </si>
  <si>
    <t>Ocampo, Roberto</t>
  </si>
  <si>
    <t>ahong007@fiu.edu</t>
  </si>
  <si>
    <t>Hong,Anh Ky</t>
  </si>
  <si>
    <t>Information Technology: CyberSafeGuard : an educational cybersecurity website</t>
  </si>
  <si>
    <t>ggala016@fiu.edu</t>
  </si>
  <si>
    <t>Galarce,Giordano</t>
  </si>
  <si>
    <t>hveli002@fiu.edu</t>
  </si>
  <si>
    <t>Veliz,Heidy</t>
  </si>
  <si>
    <t>tvill032@fiu.edu</t>
  </si>
  <si>
    <t>Villagran,Tayron Elian</t>
  </si>
  <si>
    <t>flore016@fiu.edu</t>
  </si>
  <si>
    <t>Lorenzo,Felipe Andre</t>
  </si>
  <si>
    <t>Information Technology: Expense Tracker App</t>
  </si>
  <si>
    <t>mlora025@fiu.edu</t>
  </si>
  <si>
    <t>Lora,Miguel Angel</t>
  </si>
  <si>
    <t>smill249@fiu.edu</t>
  </si>
  <si>
    <t>Mills,Shadericka</t>
  </si>
  <si>
    <t>nnina003@fiu.edu</t>
  </si>
  <si>
    <t>Ninan,Neha Anna</t>
  </si>
  <si>
    <t>mraus005@fiu.edu</t>
  </si>
  <si>
    <t>Raushaan,Muhammad</t>
  </si>
  <si>
    <t>mpere954@fiu.edu</t>
  </si>
  <si>
    <t>Perez,Miladys</t>
  </si>
  <si>
    <t>Information Technology: Personal Budget Tracker Website: SmartSpender</t>
  </si>
  <si>
    <t>dedel008@fiu.edu</t>
  </si>
  <si>
    <t>Edelduok, David</t>
  </si>
  <si>
    <t>mflor200@fiu.edu</t>
  </si>
  <si>
    <t>Flores,Maria Guadalupe</t>
  </si>
  <si>
    <t>rpier126@fiu.edu</t>
  </si>
  <si>
    <t>Pierre,Randy Marvens</t>
  </si>
  <si>
    <t>mrash028@fiu.edu</t>
  </si>
  <si>
    <t>Rashid,Malik Wahab</t>
  </si>
  <si>
    <t>abeni093@fiu.edu</t>
  </si>
  <si>
    <t>Benitez,Alexander Isaiah</t>
  </si>
  <si>
    <t>Information Technology: SmartAsset : a web-based IT asset management solution</t>
  </si>
  <si>
    <t>jlara064@fiu.edu</t>
  </si>
  <si>
    <t>Lara,Jesus</t>
  </si>
  <si>
    <t>cmcke040@fiu.edu</t>
  </si>
  <si>
    <t>Mckelton,Corey</t>
  </si>
  <si>
    <t>cpere583@fiu.edu</t>
  </si>
  <si>
    <t>Pereira,Christian</t>
  </si>
  <si>
    <t>jroda013@fiu.edu</t>
  </si>
  <si>
    <t>Rodas-Lopez,Joselin Regina</t>
  </si>
  <si>
    <t>dmora233@fiu.edu</t>
  </si>
  <si>
    <t>Morales,David Humberto</t>
  </si>
  <si>
    <t>Information Technology: Verified Student Group Collaboration Chat (FULL)</t>
  </si>
  <si>
    <t>pdave008@fiu.edu</t>
  </si>
  <si>
    <t>Davenport,Patrick</t>
  </si>
  <si>
    <t>jpowe077@fiu.edu</t>
  </si>
  <si>
    <t>Powell,Jonathan David</t>
  </si>
  <si>
    <t>Selected</t>
  </si>
  <si>
    <t>Column1</t>
  </si>
  <si>
    <t>Full Name</t>
  </si>
  <si>
    <t>Work Email (no gmail/hotmail/etc.)</t>
  </si>
  <si>
    <t>Affiliation (Company/University/Place of Work)</t>
  </si>
  <si>
    <t>Job Title</t>
  </si>
  <si>
    <t>Highest Degree</t>
  </si>
  <si>
    <t>Project Title</t>
  </si>
  <si>
    <t>Project Description</t>
  </si>
  <si>
    <t>Project Focus</t>
  </si>
  <si>
    <t>Commitment, should your project is accepted and picked by our students</t>
  </si>
  <si>
    <t>Robert Loredo</t>
  </si>
  <si>
    <t>robert@entangledsolutionsgroup.com</t>
  </si>
  <si>
    <t>Entangled Solutions Group</t>
  </si>
  <si>
    <t>CEO</t>
  </si>
  <si>
    <t>Masters</t>
  </si>
  <si>
    <t>Adaptive Quantum-AI Pedagogy Platform</t>
  </si>
  <si>
    <t>This comprehensive project challenges students to develop an intelligent tutoring system that personalizes quantum computing education through advanced AI techniques. Students will create a multi-modal learning platform that combines natural language processing for interactive quantum theory discussions, computer vision for analyzing hand-drawn quantum circuits, and reinforcement learning algorithms that adapt to individual learning patterns. The system must demonstrate quantum concepts through interactive simulations while using machine learning to assess student comprehension and provide targeted interventions.
The project requirements include: building a functional web application with quantum circuit simulators integrated with AI-powered assessment tools, implementing at least three different machine learning models for personalization, creating a knowledge graph of quantum concepts with AI-driven content recommendation, and developing natural language interfaces for quantum problem-solving assistance. Students must also incorporate accessibility features and demonstrate scalability for classroom deployment. Key deliverables encompass a fully functional prototype with user testing results, comprehensive technical documentation including AI model performance metrics, a 20-minute presentation demonstrating the platform's adaptive capabilities, peer code reviews with quantum accuracy validation, and a detailed reflection paper analyzing the intersection of AI and quantum education methodologies. This capstone synthesizes both domains while creating practical educational tools that could genuinely impact how future students learn these critical technologies.</t>
  </si>
  <si>
    <t>Throughout the semester, from the beginning to the end, I will commit to provide the students with the requirements of the project, I will commit to make myself available to meet with the students assigned to me at least once a week either remotely or in person, I will commit to answer the students' questions and clarify the requirements on a daily basis, and I will commit to provide weekly feedback regarding students' performance and the project progress.</t>
  </si>
  <si>
    <t>Ravi Venugopal</t>
  </si>
  <si>
    <t>ravi@giggso.com</t>
  </si>
  <si>
    <t>Giggso</t>
  </si>
  <si>
    <t>Founder &amp; CEO</t>
  </si>
  <si>
    <t>Masters Degree</t>
  </si>
  <si>
    <t>AI Demand Planning &amp; Forecast Adjustment</t>
  </si>
  <si>
    <t xml:space="preserve">The AI Demand Planning &amp; Forecast Adjustment project will build an agent-driven forecasting system that enhances supply chain planning by combining internal sales data with external market signals. Traditional ERP forecasts rely heavily on historical demand, which often misses rapid shifts caused by tariffs, competitor launches, or macroeconomic events.
This project develops an autonomous forecasting pipeline where agents ingest ERP demand signals, correlate them with external datasets, and output rolling SKU-level forecasts. The system not only highlights differences between ERP-generated forecasts and AI-adjusted ones but also updates ERP Material Requirements Planning (MRP) directly, ensuring procurement orders reflect the latest market reality.
Core objectives:
• Forecast Agent: Implement Time-Series ML models (Prophet, LSTM) enhanced with LLM-driven correlation of external signals (tariffs, auto production, weather, competitor launches).
• Planner Agent: Push adjusted forecasts into ERP MRP using ERP APIs (SAP BAPI, Oracle Fusion REST, ERPNext API for OSS).
• Agent Collaboration: Forecaster ↔ Optimizer ↔ Planner to continuously refine predictions and ensure alignment with operational constraints.
• Data Integration: Ingest ERP sales orders, POS history, and external APIs (e.g., automotive production indexes, macroeconomic indicators).
• Dashboard UX: Show “AI Forecast vs ERP Forecast” side by side with plain-language explanations.
o Example: “ERP predicted 8,000 units for Q2. Adjusted AI forecast: 9,200 (↑15%) due to semiconductor shortage easing. Correlation with 12% increase in auto manufacturing output.”
• Action Control: Enable planners to accept forecasts, triggering automatic ERP procurement order adjustments.
• Documentation &amp; Quality: Provide test coverage, error handling, and a detailed user guide.
Sprint Logistics
The team will follow biweekly sprints with milestone demos and provide weekly async updates. The Product Owner (Ravi Venugopal) will provide domain feedback and external market context.
Student Opportunity
Students will gain hands-on experience in AI forecasting, ERP integrations, and agentic AI workflows. This project offers exposure to enterprise-grade ERP systems and advanced supply chain analytics, preparing students for careers in supply chain technology, AI product development, or ERP consulting.
Required Skills/Interests
• Python for ML/AI pipeline development
• Time-Series forecasting 
• LLM integration for correlating external data
• ERP system APIs 
• Version control (Git/GitHub) and project management (Trello, GitHub Projects)
• Interest in supply chain planning, forecasting, and AI decision-making systems
</t>
  </si>
  <si>
    <t>I will assign someone else from my team to do the above.</t>
  </si>
  <si>
    <t>Pooja Lad</t>
  </si>
  <si>
    <t>Florida International University</t>
  </si>
  <si>
    <t>Capstone 2 Student</t>
  </si>
  <si>
    <t>Student</t>
  </si>
  <si>
    <t>AI Medical Diagnosis Assistant</t>
  </si>
  <si>
    <t>A predictive AI model that reviews patient symptoms and genetic data to suggest probable medical conditions. The system will use biomedical databases (such as ClinVar and UpToDate) to improve diagnostic accuracy and reliability. This is meant to act as an assistant to a medical physician in diagnosis.</t>
  </si>
  <si>
    <t>Throughout the semester, I will commit to providing my team with the project requirements, meeting with team members daily for our scrum, answering questions and clarifying requirements as they come up, and providing weekly feedback regarding team performance and project progress.</t>
  </si>
  <si>
    <t>Alejandro Arrieta</t>
  </si>
  <si>
    <t>alejarri@fiu.edu</t>
  </si>
  <si>
    <t>FIU</t>
  </si>
  <si>
    <t>Associate Professor</t>
  </si>
  <si>
    <t>PhD</t>
  </si>
  <si>
    <t>AI-Driven Topic and Sentiment Analysis of Patient Safety Comments</t>
  </si>
  <si>
    <t>This project seeks to analyze open-ended comments from a large-scale patient safety culture survey completed by healthcare staff across multiple hospitals. The tool will identify recurring themes and classify comments into topics that reflect staff perceptions of safety practices. Additionally, the system will conduct sentiment analysis to categorize each comment as positive, neutral, or negative, offering a deeper understanding of how staff experience and evaluate patient safety in their workplace.
Developed in Python, the AI-based tool will process a Spanish-language database of survey comments in CSV format and generate automated outputs tailored to each hospital. For a specific institution, the system will extract new responses, produce tables summarizing the most frequent and relevant topics, and display sentiment distributions in clear visualizations. Importantly, the pipeline will be designed to allow quick updates, ensuring that insights remain current as new survey data are added. This approach provides hospitals with actionable, data-driven feedback to support continuous improvement in patient safety culture.</t>
  </si>
  <si>
    <t>AI-Driven Warehouse Stock Management</t>
  </si>
  <si>
    <t xml:space="preserve">The AI-Driven Warehouse Stock Management project aims to develop a next-generation supply chain solution that dynamically balances inventory across warehouses and distribution centers. When one location is overstocked while another faces shortages, an autonomous AI agent recommends or executes stock transfers to minimize overstocking and prevent stockouts. The system continuously monitors order velocity, supplier lead times, and replenishment cycles to optimize inventory movement in real time.
The semester MVP is an AI dashboard that integrates with ERP and WMS systems to visualize stock levels, provide intelligent transfer suggestions, and allow one-click approval or full automation. Example: “DC East has +300 excess routers. DC South has -250. Transfer suggestion: move 200 units; ETA 1.5 days.”
Core objectives:
• Agentic AI Orchestration: Implement autonomous agents (CrewAI or LangChain agents) to coordinate between ERP and WMS.
• Optimization Engine: Use linear programming or reinforcement learning to recommend optimal transfers.
• Rule-Based Triggers: Automate reorder and redistribution based on thresholds.
• Data Integration: Connect ERP (e.g., Odoo, ERPNext APIs) and WMS, with optional IoT sensor data.
• Visualization: Build an operations dashboard with heatmaps, alerts, and transfer recommendations.
• Action Control: Enable one-click human approval or automated execution of transfers.
• Documentation &amp; Quality: Provide unit tests, error handling, and a user guide.
Sprint Logistics
The team will follow biweekly sprint meetings with milestone demos and weekly async updates. The Product Owner will act as the point of contact, ensuring requirements are clarified and feedback cycles remain tight.
Required Skills/Interests
• Python or JavaScript/TypeScript for backend &amp; AI agent development
• Familiarity with LangChain, CrewAI, or similar agent frameworks
• Optimization techniques (linear programming, reinforcement learning)
• REST/GraphQL API integration with ERP/WMS systems
• Databases (SQL, Postgres) for inventory tracking
• Frontend development for dashboards (React/Next.js preferred)
• Version control (Git/GitHub) and project management (Trello, GitHub Projects)
• Interest in supply chain management, logistics, and AI-driven decision support
</t>
  </si>
  <si>
    <t>Olamide Oduntan</t>
  </si>
  <si>
    <t>ArtCollab</t>
  </si>
  <si>
    <t>ArtCollab is an online platform where artists can showcase their work, collaborate on projects, and share feedback in a supportive community. It functions as a digital gallery for paintings, music, designs, illustrations, and storytelling, encouraging cross-disciplinary creativity. The platform is built with HTML, CSS, and JavaScript/Python, using MySQL/PostgreSQL for data storage and Firebase for high-quality media hosting. By combining exhibition, collaboration, and engagement features, ArtCollab fosters growth and innovation in the global art community.</t>
  </si>
  <si>
    <t>Christian Poellabauer</t>
  </si>
  <si>
    <t>cpoellab@fiu.edu</t>
  </si>
  <si>
    <t>Professor</t>
  </si>
  <si>
    <t>Audio- and AI-Based Movie Genre and Rating Detector</t>
  </si>
  <si>
    <t>In this project students will use audio snippets from movies (e.g., via Netflix, Youtube, etc.) to build a machine learning model for movie genre and rating classification. The system will then be tested using random audio snippets from movies. The objective of this technology is to build a system that could be used by parents to monitor if their children watch movies or TV shows that are inappropriate for their age. The prototype system to be developed in this project will be decided at a later point; it could be a smartphone app, based on Raspberry Pi boards, etc.</t>
  </si>
  <si>
    <t>Luis Delgado</t>
  </si>
  <si>
    <t>BriskRecall</t>
  </si>
  <si>
    <t>BriskRecall is an AI-powered flashcard generator that transforms PDFs/Docs into interactive study cards using retrieval augmented generation (RAG). The system automatically creates context-aware questions and answers, helping users reinforce knowledge efficiently.</t>
  </si>
  <si>
    <t>Baha Ali</t>
  </si>
  <si>
    <t>Campus Assistant</t>
  </si>
  <si>
    <t>Design a system that can serve as an interface for a university. The system should have user authentication and include navigation/maps as well as allow queues for on-campus services to be managed digitally.</t>
  </si>
  <si>
    <t>Jernai Bennett</t>
  </si>
  <si>
    <t>Campus Social Media App</t>
  </si>
  <si>
    <t>A comprehensive social media platform designed exclusively for Florida International University students to foster campus community engagement, facilitate club participation, and provide centralized access to campus events and activities. The platform integrates an intelligent chatbot powered by natural language processing to answer FIU-specific questions, creating a one-stop solution for student campus life.</t>
  </si>
  <si>
    <t>Jin Carballosa</t>
  </si>
  <si>
    <t>Canvas AI Assistant</t>
  </si>
  <si>
    <t>Pattern: Retrieval-Augmented Generation (RAG) using Canvas API (https://www.instructure.com/resources/videos/canvas-api-101)
Flow: User asks: "What do I have to do for my project in CIS4951?" The backend searches its database for all items related to "CIS4951" and "project". 
The backend constructs a detailed prompt for the LLM, including the search results as context. 
The LLM generates a human-readable summary based only on the provided context.</t>
  </si>
  <si>
    <t>Daniel Gonzalez</t>
  </si>
  <si>
    <t>Cloud Cost Optimizer Dashboard</t>
  </si>
  <si>
    <t>Antonio Hernandez</t>
  </si>
  <si>
    <t>antherna@fiu.edu</t>
  </si>
  <si>
    <t>Associate Teaching Professor</t>
  </si>
  <si>
    <t>PhD.</t>
  </si>
  <si>
    <t>Computing a Watchman Route in a Body of Water for Two Boats</t>
  </si>
  <si>
    <t>This project consists of designing and implementing a solution for the following problem. Let S be a polygonal space on the surface of a body of water, such as the sea or a lake, with a set of fixed obstacles in it. Let B1 and B2 be boats that are able to translate and rotate in S. Consider there is an associated local positioning system that allows tracking the boat's locations in S in real time. The problem consists in finding a route for B1 and B2 within S with the property that every point in S is visible from B1 or B2 along their routes. The applications of this problem include surveillance, monitoring, and security systems. Expectations of this project include tackling of geometric algorithms and the use of C++ computational geometry libraries.</t>
  </si>
  <si>
    <t>Chen Chen</t>
  </si>
  <si>
    <t>chechen@fiu.edu</t>
  </si>
  <si>
    <t>Knight Foundation School of Computing and Information Sciences</t>
  </si>
  <si>
    <t>Assistant Professor</t>
  </si>
  <si>
    <t>Ph.D.</t>
  </si>
  <si>
    <t>Context-Aware Conversation Support with Augmented Reality and Generative AI</t>
  </si>
  <si>
    <t>Effective and smooth conversations rely on strong social skills and background knowledges. However, gaps in knowledge among participants often disrupt the flow of conversation. For example, a conversational participant might struggle to engage in an effective conversation about planning a trip to Miami if they have never visited before. Recent advances in Generative AI (GenAI) have shown promising capabilities in generating information, while head-mounted Augmented Reality (AR) offers the potential to render and visualize information anywhere in the field of view. However, it remains unclear how GenAI and AR can synergistically support conversations.
The overarching goal of this project is to explore the design of an AR-based conversational supporting tools. Ultimately, while wearing the head-mounted AR, useful information should be rendered with right level of details, at the right time and right place in front of the conversational participants.</t>
  </si>
  <si>
    <t>Sebastian Fajardo</t>
  </si>
  <si>
    <t>sebastianfajardo@southerngear.net</t>
  </si>
  <si>
    <t>Southern Gear and Machine</t>
  </si>
  <si>
    <t>Engineering Manager</t>
  </si>
  <si>
    <t>MSEM</t>
  </si>
  <si>
    <t>Cybersecure Setup Photo Management System</t>
  </si>
  <si>
    <t>Description:
Develop a custom-built secure Android mobile application that allows machinists to take setup photos directly at their operation. The app will read the work order and part number from the shopcard, generate a standardized filename, and automatically save the images into department-specific folders on a secure server. The initial release will be Android-only (due to cost and MDM integration), but the architecture should allow for future iOS development.
Key Requirements:
Custom Build: Fully proprietary app developed for company use (not an adaptation of existing apps).
Platform: Android first (MDM support, side-loading option, Google Play distribution). Future iOS compatibility must be considered in design.
Cybersecurity:
Cloud uploads (Google Drive, iCloud, etc.) must be disabled.
Secure server connection only through approved methods.
Dedicated storage account with restricted permissions for photo handling.
Maintainability:
Must remain stable across Android OS updates (e.g., v16 → v17 and future releases).
Include a test plan and documentation for future compatibility/security patching.
NIST &amp; Compliance: Project scope is a proprietary, in-house app designed with secure workflows. Deliverables must include documentation of security controls aligned with best practices.
Training &amp; Policy: Written usage policy and training guide for machinists included.
Deliverables:
- Fully functional custom Android app with:
- Photo capture workflow tied to work order and part number.
- Automatic standardized filename generation.
- Secure folder-based storage by department.
- Documentation of security and compliance measures.
- Roadmap for future iOS version.
- Testing and maintenance guide for Android version upgrades.
- Written policy and training materials for machinists.
- Documentation for further in-house development</t>
  </si>
  <si>
    <t>Design Human-AI Collaboration Workflow for Creating and Consuming Asynchronous 3D Design Review</t>
  </si>
  <si>
    <t>Providing and consuming asynchronous feedback is a critical step in 3D design review workflow. Exchanging feedback allows all stakeholders such as collaborators and clients to review the design collaboratively, highlight issues, and propose improvements. Asynchronous feedback offers benefits such as flexibility, improved focus, and easier record-keeping, enabling individuals to give and receive feedback at their own time and space. Although some existing works have explored software designs for creating and consuming 3D design reviews, these features often remain inefficient and cumbersome. For example, commercially available tools e.g., Acrobat, Autodesk Viewer and TinkerCAD allow adding textual comments of a specific viewpoint and markups to specific parts of 3D assets. However, due to the multi-view nature of 3D assets, simply allowing users to attach textual comments to a selected view offers limited support for efficient design review creation and consumption.
This project aims to explore, design and build a browser-based, AI-powered interactive system aiming to help users efficiently explore 3D models, create effective and actionable design reviews, and browse and synthesize feedback. This tool should be designed for users without professional 3D expertise, recognizing that stakeholders in practical 3D design review workflows - such as clients and managers - often lack such skills. This is a collaborative project between Knight Foundation School of Computing and Information Sciences, and Lee Chaplin School of Journalism and Media.</t>
  </si>
  <si>
    <t>Dale Gomez and Suzanne Bagnera</t>
  </si>
  <si>
    <t>gomezd@fiu.edu</t>
  </si>
  <si>
    <t>FIU - Chaplin School of Hospitality and Tourism Management</t>
  </si>
  <si>
    <t>M.S.</t>
  </si>
  <si>
    <t>Disaster Kitchen Support App</t>
  </si>
  <si>
    <t>The Disaster Kitchen Support App will serve as a digital platform to connect communities, restaurants, and relief organizations during times of crisis. The app will include volunteer sign-up and management, allowing individuals to register, track, and update their availability for kitchen support. Restaurants will be able to donate surplus food through a dedicated donation feature, while disaster kitchen companies can sign up and coordinate resources efficiently. A locations module will provide maps and listings of active kitchen sites, shelters, and distribution centers. A news feed will keep users updated with real-time information, safety updates, and community alerts. To further enhance usability, the app will include an AI concierge to guide users in navigating features, answering common questions, and directing them to relevant resources. Ideally, students will be responsible for designing a secure, user-friendly interface, developing the back-end for data storage and communication, and implementing cybersecurity measures to ensure data integrity and privacy.</t>
  </si>
  <si>
    <t>Embedded Programming Copilot Agent (IC-Specific AI Assistant)</t>
  </si>
  <si>
    <t xml:space="preserve">The Embedded Programming Copilot Agent aims to provide embedded developers with a chip-aware AI assistant that streamlines firmware development for microcontrollers and ICs. Unlike generic code assistants, this system will be tightly integrated with vendor-specific documentation, local IDE libraries, and compiler/debug logs, ensuring contextually accurate suggestions and rapid debugging.
By ingesting vendor documentation (e.g., Silicon Labs EFM32 APIs), local project templates, and error logs, the agent can:
• Recommend register initialization and API calls aligned with datasheet constraints.
• Detect and resolve common compiler/debug errors (e.g., missing headers, linker misconfigurations, incorrect HAL calls).
• Optionally auto-patch code or build configurations with developer approval.
The result is a guided, intelligent coding experience that shifts embedded development away from trial-and-error toward context-aware automation.
Core objectives:
• Knowledge Agent: Ingest and index vendor documentation, APIs, HAL libraries, and register maps.
• IDE Agent: Parse local project templates/libraries (C headers, linker scripts, startup code).
• Programming Agent: Generate contextual code snippets, orchestrated via LangChain/CrewAI.
• Debug Agent: Analyze compiler/debugger logs and propose fixes or patches.
• Future Extension: Sustainability Agent to recommend low-power code alternatives (sleep modes, clock gating).
• Dashboard UX: Provide suggestions, patch approvals, and code confidence scoring with reasoning.
o Example: “Add GPIO configuration for TX/RX before enabling USART0.”
o Example: “Include em_usart.c in Makefile. Do you want me to patch?”
• MVP Scope (Phase 1):
1. Local IDE Library ingestion.
2. Log Analyzer for error parsing.
3. Code suggestion + auto-patch approval flow.
Sprint Logistics
The project will follow biweekly sprint cycles with milestone demos and async weekly updates. Ravi Venugopal will provide product guidance and access to vendor documentation scraping pipelines already built for Silicon Labs chips.
Student Opportunity
Students will gain hands-on experience in embedded systems, agentic AI, and developer tool automation. This project provides exposure to low-level firmware coding, compiler/debugging workflows, and AI copilots for IC-specific development. High-performing students may be considered for internship opportunities through Giggso and its partner network.
Required Skills/Interests
• Strong Python programming skills
• Compiler/debugger workflows
• Python/JavaScript for AI agent orchestration
• Document parsing and NLP for vendor doc ingestion
• IDE integration
• Git/GitHub for version control and project management
• Interest in embedded firmware, IoT, and AI-powered developer tools
</t>
  </si>
  <si>
    <t>Kiesha Moodie</t>
  </si>
  <si>
    <t>kmoodie@fiu.edu</t>
  </si>
  <si>
    <t>ORED - StartUP FIU + CASE PhD Student T&amp;L STEM</t>
  </si>
  <si>
    <t>Director, Social Inovation + PhD Student - Teaching &amp; Learning (Integrated STEM)</t>
  </si>
  <si>
    <t>Masters in Ed - in pursuit of PhD</t>
  </si>
  <si>
    <t>Framing by Design: Teaching Empathy and Problem Definition through Game-Based Learning</t>
  </si>
  <si>
    <t>PhD Research game based learning project
🧩 Overview:
This project involves building the part of the first playable mission of Designtopia, an educational 2D point-and-click game that teaches students the design thinking process through narrative gameplay. Each mission simulates one complete design sprint (Empathize → Define → Ideate → Prototype → Test). This specific capstone will focus on the Empathize and Define phases only, laying the foundational mechanics for the full game while creating a rich, narrative-driven, decision-based experience.
🎯 Objective:
Develop a playable Unity game module that immerses players in the Empathy and Define phases of design thinking. Players will engage with a main NPC (Non-Playable Character) who is facing a challenge. Through exploring the environment and interacting with both the main and supporting NPCs, players will gather insights and observations that inform a user-centered problem statement.
🧠 Gameplay Mechanics:
1. Exploration &amp; Environment
2D top-down or side-scroller style map
Player can walk between various scenes (e.g., NPC home, garden, store)
Interactive objects trigger observation-based insights
Environmental triggers populate the “Insight Notebook”
2. NPC Dialogue System
Players initiate conversations with the main and supporting NPCs
Dialogue tree includes branching logic based on player selections
Specific dialogue choices are tagged to unlock key emotional/functional insights
Dynamic feedback: based on the quality of questions selected, players can unlock deeper dialogue or emotional responses
3. Insight Notebook (Visual UI)
A pop-up “notebook” auto-populates with:
Direct quotes
Inferred insights
Observation notes
Entries are grouped by source: Main NPC, Supporting NPCs, Environment
Entries include icons or visual tags to show emotional tone, topic, or source
4. Point-of-View (POV) Builder Interface
Based on unlocked insights, player is prompted to fill out the Define phase using a structured format:
[Character name] needs a way to [functional need] because [underlying reason/emotion]
The POV statement options are pre-filled based on collected insights
Players select and finalize the most accurate statement, which is scored or stored for progression
🎮 Game Flow:
Intro cutscene/tutorial introducing the player’s role and the main mission
Exploration across 2–3 screens
Interactions with 1 main NPC (primary character in need) and 2–3 supporting NPCs
Insight collection via dialogue and environment
Notebook UI is updated in real time
POV Builder screen is unlocked once key thresholds are met
End screen confirms phase progression and success, stores data, and sets up next phase
🧱 Deliverables &amp; Functionality to Build:
Feature + Details
Dialogue system - Branching tree w/ conditional logic; tag-based responses
Notebook UI- Interactive, filterable insight tracker; visual design provided
POV Builder- Drag/drop or multiple-choice interface; conditional unlocks
Game navigation - Movement across at least 3 environments
Data logging- Track which questions were asked, which insights were unlocked
Visual assets- Placeholder assets provided (character portraits, scenes, UI)
Extensibility- Code must be clean and modular for future phases (Ideate, Prototype, Test)</t>
  </si>
  <si>
    <t xml:space="preserve">Bryan Alexander Fernandez </t>
  </si>
  <si>
    <t xml:space="preserve">Student </t>
  </si>
  <si>
    <t>Gamified Habit Tracker: Leveling Up Everyday Routines</t>
  </si>
  <si>
    <t>The Gamified Habit Tracker is a web-based application designed to make habit formation engaging, interactive, and rewarding by incorporating elements of role-playing games (RPGs). Instead of viewing habits as repetitive tasks, users will experience them as part of an adventure where consistency drives progress.
Users will be able to:
Create and track habits with customizable goals and schedules.
Earn experience points (XP) for completing tasks consistently.
Level up their profile to visualize personal growth and unlock new features.
Unlock achievements and rewards that celebrate milestones and long-term commitment.
View progress analytics, such as streaks, completion rates, and habit trends, to encourage self-reflection and improvement.
By combining behavioral psychology with game mechanics, this project aims to increase user motivation, reduce procrastination, and promote lasting lifestyle changes. The application emphasizes usability, visual appeal, and long-term engagement through a balance of functionality and fun.</t>
  </si>
  <si>
    <t>Giorgio Abboud</t>
  </si>
  <si>
    <t>Green Vault - Uncovering hidden trade costs and analysis</t>
  </si>
  <si>
    <t>Commission-free apps make trading easy, but they don’t make execution quality transparent, and they always include a contract fee per trade. Existing analytics dashboards are often reserved for brokers, and Transaction Cost Analysis tools are aimed at funds. Most retail investors can’t see the "hidden" costs that come from bid-ask spread and slippage at the exact moment they buy or sell. Furthermore, manually computing the quality of your trades is tedious and error-prone. As a consequence, self-directed beginner to intermediate retail investors suffer from the lack of accessible trading tools to evaluate their trades.
Our market cares about mitigating risk while investing their money in stocks, and having their questions answered, including whether they overpaid, sold too soon, let their emotions lead their decisions, or should split trades at different times. They also want their trade history private, clarity with in-depth explanations, and certainty over their trades.
We aim to estimate the hidden costs before your purchase, as well as break down your profits and losses after a completed trade. This way, the user has a better idea of the current trade risk by understanding the spread, timing, and slippage, since these initially small costs accumulate over time.
Our goals are as follows:
1. Provide accurate estimations of hidden fees before a purchase
2. Provide trade history analysis for beginner and intermediate traders
3. Split the hidden costs into separate categories for clear personal analysis</t>
  </si>
  <si>
    <t>Pedro Villegas</t>
  </si>
  <si>
    <t>Pvill044@fiu.edu</t>
  </si>
  <si>
    <t>HandyMen Now</t>
  </si>
  <si>
    <t xml:space="preserve">A handymen/short term construction job scheduler. Where you can track expenses, time schedule, and pay for services provided. There will be a customer side and handymen side where they can pick jobs. </t>
  </si>
  <si>
    <t>Brian Garcia</t>
  </si>
  <si>
    <t>HouseholdHub</t>
  </si>
  <si>
    <t xml:space="preserve">HouseholdHub is a platform where families post household needs (such as cleaning, childcare pickups, errands), and housekeepers/caregivers can apply, chat, schedule, and complete tasks. It streamlines communication among parents and caregivers, and provides a transparent history. 
</t>
  </si>
  <si>
    <t>Jennifer Mesa</t>
  </si>
  <si>
    <t>LearnCode Game</t>
  </si>
  <si>
    <t>Loan Validation</t>
  </si>
  <si>
    <t xml:space="preserve">The Loan Validation project aims to automate authenticity verification and risk scoring for borrower-submitted loan documents. In the financial services sector, validating IDs, payslips, and property deeds is a time-consuming and error-prone process. Fraudulent submissions, hidden risks, and incomplete checks can result in financial loss and compliance breaches.
This project leverages agentic AI to create an automated validation pipeline that ingests borrower documents, verifies their authenticity, cross-checks them with external data sources, and produces a Trust Index score with a narrative summary for loan officers.
Core objectives:
• Verification Agent: Extract and interpret structured data using OCR + embeddings + document AI (e.g., LayoutLMv3).
• Cross-Validation Agent: Verify authenticity via external APIs such as government ID registries, employer payroll APIs, and property databases.
• Fraud-Detection Agent: Identify anomalies like fake pay stubs, mismatched fonts, or manipulated metadata.
• Narrative Agent: Summarize validation results into a clear, plain-English explanation for the loan officer.
• Data Integration: Connect with ERP/Loan Origination Systems (LOS), government APIs, open banking APIs (Plaid), and ESG/AML blacklists.
• Dashboard UX: Provide fast, actionable insights:
o Example: “ID verified with State DMV. Pay stub cross-checked with IRS filings. Bank deposits mismatch declared income (+20% variance). Employer flagged in ESG violation list (labor rights issue). Recommendation: Approve with conditions OR escalate to risk team.”
• Confidence Scoring: Deliver a Trust Index (0–100) to quantify risk.
• Documentation &amp; Quality: Ensure full test coverage, robust error handling, and clear user documentation.
Student Opportunity
Students will gain exposure to AI in banking and financial services, learning how to integrate advanced document intelligence with regulatory data sources. This project offers practical experience in fraud detection, compliance automation, and AI explainability in financial decision-making. 
Required Skills/Interests
• Python for AI agents, OCR, and ML pipelines
• Document AI (e.g., LayoutLMv3, DocAI, Tesseract OCR)
• API integration (Gov ID, payroll, banking, property registries)
• Anomaly detection and fraud detection methods
• Data security, encryption, and compliance-aware design
• Version control (Git/GitHub) and agile project tools (Trello, GitHub Projects)
• Interest in BFSI (Banking, Financial Services &amp; Insurance), fraud detection, and compliance technology
</t>
  </si>
  <si>
    <t>Log Intelligence for Energy &amp; Sustainability</t>
  </si>
  <si>
    <t xml:space="preserve">The Log Intelligence for Energy &amp; Sustainability project aims to build an AI-driven GreenOps platform that ingests equipment and IoT logs from warehouses and logistics operations to detect inefficiencies and reduce carbon footprint. Energy-intensive systems such as HVAC units, forklifts, and conveyor belts often generate vast amounts of log data that remain underutilized.
This project leverages agentic AI to analyze operational patterns, identify inefficiencies (e.g., excess idling, abnormal fuel burn, or cooling leaks), and recommend both operational optimizations and predictive maintenance actions. By correlating equipment logs with ERP maintenance data and energy consumption records, the system will empower sustainability managers to minimize costs while improving environmental performance.
Core objectives:
• Log Ingestion Agent: Build pipelines using Elastic/Fluentd (or similar) wrapped in an agent for real-time log capture.
• Sustainability Agent: Benchmark energy usage patterns against industry standards to detect inefficiencies.
• Predictive Maintenance Agent: Forecast potential failures and anomalies (e.g., rising HVAC draw, idle forklifts) before they become costly.
• Data Integration: Combine IoT logs, ERP CMMS maintenance logs, and energy bills/utility APIs into a unified system.
• GreenOps Dashboard: Provide real-time visualizations and actionable insights for operations teams.
o Example: “Forklift #23 idled 46 mins daily → annual CO₂ excess = 2.3 tons, cost = $4,200. Suggest: idle-off automation.”
o Example: “HVAC Unit 7 increased energy draw by 18% vs baseline. Possible filter clog → maintenance recommended.”
• Action Control: Enable one-click scheduling of maintenance tasks through ERP CMMS integration.
• Documentation &amp; Quality: Deliver robust error handling, test coverage, and a user/admin guide.
Student Opportunity
Students will gain practical experience at the intersection of AI, IoT, and sustainability analytics, learning how to connect operational log data with actionable decision-making. The project equips students with valuable skills in green supply chain optimization, predictive maintenance, and enterprise integrations. 
Required Skills/Interests
• Python/JavaScript for AI agents and backend services
• Log ingestion frameworks (Elastic, Fluentd, or similar)
• Time-series anomaly detection and predictive maintenance techniques
• Integration with ERP CMMS APIs
• Energy analytics and sustainability benchmarks
• Version control (Git/GitHub) and project tracking (Trello, GitHub Projects)
• Strong interest in sustainability, IoT, and green supply chain management
</t>
  </si>
  <si>
    <t>Nicholas Delgado</t>
  </si>
  <si>
    <t>Mobile app for coding practice</t>
  </si>
  <si>
    <t>A mobile app that assist users in training their coding skills.</t>
  </si>
  <si>
    <t>Mobile app for cognitive skill assessment</t>
  </si>
  <si>
    <t>This project will continue a mobile app that has been developed by a previous capstone project team, using Google Flutter and Firebase. Your team will make several critical improvements and enhancements, including: developing a protocol to collect, store, and communicate the collected sensor data so that subsequent data analysis will be facilitated, testing (and refinement) of the existing cognitive tests (games), development of additional 2-3 cognitive tests, analysis of test performance (which might happen in Firebase), and visualization of test performance.</t>
  </si>
  <si>
    <t>Paola Montejo</t>
  </si>
  <si>
    <t>Mood-Based Playlist Recommender</t>
  </si>
  <si>
    <t>An application that generates playlists tailored to a user’s mood, either by selecting from pre-made lists or by analyzing mood inputs. The goal is to combine personalization with a simple, engaging user experience.</t>
  </si>
  <si>
    <t>Josue Quinonez</t>
  </si>
  <si>
    <t>MyMedCab - Medication Management System</t>
  </si>
  <si>
    <t>"MyMedCab (short for My Medication Cabinet) is a desktop application with the purpose of better coordinating medication management for both individuals and healthcare providers. The goal of this project is to solve the challenges associated with medications such as tracking schedules, managing prescriptions, and promoting medication adherence. Users will be able to set medication reminders, maintain an interactive inventory with medications, view the stock levels, or in other words, determining the availability of a medication, and tracking expiration dates. Moreover, the application will integrate a drug interaction checker, where users can enter various medications and check for conflicts.
	This project will be developed using JavaScript / TypeScript, React for interactions within the interface, and PostgreSQL for data storage. Relevant features include user authentication for security, health log tracking to monitor vitals such as blood pressure or glucose levels, and data tools, including charts and reports to keep track of medication adherence. To develop this application, we will also consider scalability and usability, with the target audience being individual users and healthcare facilities."</t>
  </si>
  <si>
    <t>Place Holder 24</t>
  </si>
  <si>
    <t>Place Holder 25</t>
  </si>
  <si>
    <t>Place Holder 26</t>
  </si>
  <si>
    <t>Place Holder 27</t>
  </si>
  <si>
    <t>Place Holder 30</t>
  </si>
  <si>
    <t>Jorge Pereira</t>
  </si>
  <si>
    <t>Place Holder 31</t>
  </si>
  <si>
    <t>Predictive Storage Space Optimization Agent</t>
  </si>
  <si>
    <t xml:space="preserve">The Predictive Storage Space Optimization Agent project aims to solve one of the most persistent problems in supply chain logistics: inefficient warehouse storage utilization. Warehouses, depots, and cold storage facilities often face underutilization or last-minute overflow due to poor slotting, demand spikes, or inaccurate forecasts.
This project leverages agentic AI to continuously monitor inbound shipments, outbound orders, pallet dimensions, SKU velocity, and seasonal demand patterns. Using predictive modeling and simulation, the system forecasts storage space utilization 2–6 weeks in advance and proactively recommends optimization strategies such as re-slotting, cross-docking, or leasing temporary space.
Core objectives:
• Prediction Agent: Use time-series forecasting (Prophet, LSTM) to predict space utilization based on inbound and outbound flows.
• Simulation Agent: Run warehouse layout simulations (using open-source WMS simulators or OR tools like SimPy, OR-Tools) to test optimization scenarios.
• Optimization Agent: Recommend re-slotting, reallocation, or temporary space leasing strategies via reinforcement learning or rule-based methods.
• Connector Agents: Integrate ERP/WMS data (Oracle Fusion, SAP, ERPNext) through REST APIs or OData connectors.
• Dashboard UX: Build an AI CoPilot dashboard for warehouse managers with heatmaps, alerts, and recommended actions.
o Example: “Storage Bay 3 will hit 98% utilization in 12 days due to inbound shipments of spare parts. Recommend re-slotting fast-moving items to Bay 5 (currently at 60%).”
• Action Control: Allow managers to approve actions (e.g., cross-dock reservation, temporary space rental, supplier scheduling changes) with one click, syncing directly with ERP/WMS.
• Documentation &amp; Quality: Provide automated tests, error handling, and a user/admin guide.
Sprint Logistics
The team will work in biweekly sprint cycles with milestone demos and async weekly updates. Ravi Venugopal will provide product feedback and industry guidance on warehouse optimization practices.
Required Skills/Interests
• Python/JavaScript for AI agents and backend services
• Time-series forecasting 
• Simulation and optimization frameworks (SimPy, OR-Tools, reinforcement learning)
• (Optional) ERP/WMS API integration (SAP, Oracle, ERPNext)
• Database experience (SQL, Postgres) for warehouse data management
• Version control (Git/GitHub) and agile project tools (Trello, GitHub Projects)
• Interest in supply chain, logistics optimization, and sustainability
Student Opportunity
Students will gain hands-on experience with predictive analytics, simulation modeling, and AI-driven warehouse management systems. This project provides exposure to real-world ERP/WMS integration, optimization algorithms, and supply chain decision automation, preparing students for careers in logistics technology, AI systems design, and operations research. High-performing students may be considered for internships or job opportunities through Giggso and its industry partners.
</t>
  </si>
  <si>
    <t>Orkhan Fataliyev</t>
  </si>
  <si>
    <t>Resume Screening AI</t>
  </si>
  <si>
    <t>AI-powered resume screening tool that extracts key skills and experiences from resumes, compares them against a job description, and ranks candidates by their match score. The system provides clear feedback on strengths and missing qualifications to support fairer, faster hiring decisions.</t>
  </si>
  <si>
    <t>Alessandra Ortega</t>
  </si>
  <si>
    <t>SHE&lt;Codes/&gt; - Inspiring Young Women and Queer Youth in STEM</t>
  </si>
  <si>
    <t>SHE&lt;Codes/&gt; is a narrative coding game designed to inspire young women and queer youth to explore careers in computer science and STEM. Instead of traditional tutorials, the game introduces programming concepts through interactive stories with historical pioneers such as Ada Lovelace, Grace Hopper, Alan Turing, and Katherine Johnson.
Players solve drag-and-drop coding puzzles (Scratch-like interface), engage in mentor interactions that highlight real-world contributions, and unlock achievements that celebrate STEM history. The goal is to make coding feel empowering, inclusive, and creative while applying software engineering fundamentals and computer science theory to build a working software solution.
Team:
- Frontend Developers – code in HTML/CSS/JS, drag-and-drop system, animations.
- UI/UX Designer-Developer – design the aesthetic, characters, intuitive learning flows.
- Content Developer-Engineer – write mentor stories, design challenges tied to real-world CS concepts, build progression system.</t>
  </si>
  <si>
    <t>Throughout the semester, from the beginning to the end, I will commit to working on the project and providing verifyable results. I will commit to make myself available to meet with the other students in my group at least once a week either remotely or in person.</t>
  </si>
  <si>
    <t>Van Duc Nguyen</t>
  </si>
  <si>
    <t xml:space="preserve">Smart Appointment Scheduler </t>
  </si>
  <si>
    <t>A web app that helps small businesses (like clinics, gyms, or repair shops) manage appointments automatically. Customers can book online, and the system avoids conflicts, sends reminders by email/text, and syncs with Google Calendar. 
Why it works: Businesses hate missed appointments and double bookings. This solves that problem directly. 
Deliverables: Booking system, conflict detection, reminders, manager dashboard.</t>
  </si>
  <si>
    <t>Smartphone-based TBI assessment</t>
  </si>
  <si>
    <t>Our lab has developed a machine learning based approach to detecting mild traumatic brain injuries via voice analysis. In this project, we will now turn this into a mobile app, using the Google Flutter development environment (which will provide apps working for both Android and iOS devices). This app will allow a user to go through several brief "speech tasks" (reading provided text into the device's microphone), the device will collect and store the recording, process the audio, extract features and/or turn it into a spectrogram, and then feed it into a machine learning model for classification. The device will then visualize the results; all this should happen on the device without the need for cloud services/access (although the app should should ideally have a feature to export the data). Students with interest in human-device interactions, app/graphic design, etc., are particularly welcome to join this project to make sure that the app will be user-friendly and visually appealing.</t>
  </si>
  <si>
    <t>Juan Mieses</t>
  </si>
  <si>
    <t>SpineWise</t>
  </si>
  <si>
    <t xml:space="preserve">SpineWise is a lightweight AI-powered desktop application that utilizes computer vision to detect and correct posture. This project is relevant to college students, especially those majoring in office-heavy positions, where students may be tied down to a desk for long hours; poor posture habits are prevalent amongst such students. Leveraging OpenCV and body landmark detection (e.g., Mediapipe), SpineWise monitors webcam footage in real-time to identify slouching, forward head posture, and other risks. The application provides immediate visual or audio feedback when posture issues are detected. Additionally, SpineWise includes a smart recommender system that analyzes the type of posture issue and suggests affordable, student-friendly ecommerce products, such as back cushions, desk risers, and ergonomic chairs, by querying public APIs from major retailers (Amazon, for instance). Students can commence this project by first creating a prototype that uses OpenCV and Mediapipe to capture webcam input and identify key body landmarks, to detect common posture issues such as slouching or forward head tilt. Then, students can implement a feedback mechanism (alerts or on-screen posture scores) to guide users towards better posture. Students can then connect posture categories to a curated list of product keywords and integrate a retail API to recommend products tailored to the user’s needs. The team can build a simple but clean UI to display alerts, posture statistics, and product recommendations. We can run the project locally, thereby not collecting user information, and then distribute the product using open-source licensing for public use and academic evaluation. 
</t>
  </si>
  <si>
    <t>Staria Workout App</t>
  </si>
  <si>
    <t>Staria is a mobile-first fitness app that helps users log workouts, track progress, and build personalized training routines with a clean, user-friendly interface. It allows users to record sets, reps, and weights while providing progress visualization through charts and statistics. Designed for both beginners and advanced lifters, Staria emphasizes simplicity and motivation while supporting custom plans tailored to individual goals. Future versions aim to integrate AI-driven workout and meal recommendations for a more adaptive fitness experience.</t>
  </si>
  <si>
    <t>liane@hrrhvisionconsulting.com</t>
  </si>
  <si>
    <t>HR VISION CONSULTING</t>
  </si>
  <si>
    <t>bachelor</t>
  </si>
  <si>
    <t>Stress and anxiety management app</t>
  </si>
  <si>
    <t xml:space="preserve">Subject: Stress and Anxiety Web &amp; Mobile Software
Facts
According to a 2024 Healthy survey from Cleveland Clinic, 82% strongly agree that mental health is just as important as physical health. Over 40 million adults experience an anxiety disorder each year, and about 8% of children and teenagers experience an anxiety disorder. Anxiety disorders are the most common mental disorders in the U.S.
Project
The goal is to build a service that helps millions of people who struggle with stress and anxiety in daily life.
The software will include a cloud-hosted content delivery system featuring interactive decision-tree diagnostics, with content served dynamically based on answers. HR Vision will provide the content and questions, while students will help design and implement a compelling user interface. The platform will be accessible via web and mobile-responsive design.
The value added is significant: users will gain awareness, self-management tools, and concrete strategies tied to four neuro-hormones that support better mental health. The system empowers people to take action, reduce anxiety, and prevent further episodes—helping at home, school, and the workplace.
Technical Upgrade &amp; Mobile Deployment
To expand the reach of this project, the next step is to deliver it through mobile apps, giving students the opportunity to work on a real-world deployment for both Android and iOS.
Google Play Optimization
Refine and upgrade the current Android code to improve performance, stability, and user experience.
Ensure compliance with the latest Google Play standards and integrate Google Identity and payment features.
Students will gain experience preparing a live app for distribution on Google Play.
Apple iOS Build
Develop a native iOS version using Swift/SwiftUI to bring the software to the Apple App Store.
Follow Apple’s design, privacy, and security requirements.
Students will build and test an application that meets one of the most rigorous mobile development standards in the world.
Launch Experience
Students will not only write code but also participate in the end-to-end process of publishing to global marketplaces.
This gives them the chance to showcase their skills on a meaningful project with impact in both technology and health sectors.
Future Transformation
In future phases, this tool could be extended with AI, AR/VR, and voice interfaces (Alexa, Siri) to create immersive experiences. A network of affiliated providers could also be integrated, offering comprehensive care.
This project is more than just software — it’s a chance for students to contribute to a health innovation that can improve lives, while gaining portfolio-ready experience in real deployment.
Regards,
Liane Sangollo, PCC, CHRP, CSM
Applied Neuroscience Practitioner
</t>
  </si>
  <si>
    <t>Mohammad Naqvi</t>
  </si>
  <si>
    <t>Synthetic L3 Orderbook Data Generator</t>
  </si>
  <si>
    <t>This application allows users access to a realistic Level 3 order book data generator. The data it simulates will be used to test market scenarios and grant the user base freedom to experiment with the data and gather insight on potential market behaviors. The system  applies a high quality generation model that is combined with validation tools. This reflects the behavior of modern markets more accurately compared to simplistic statistical models. The data is then plotted onto some clean orderbook visualization charts that are available for the user to download and access through the frontend interface.</t>
  </si>
  <si>
    <t>Rickny Sanon</t>
  </si>
  <si>
    <t>Rsano008@fiu.edu</t>
  </si>
  <si>
    <t>Tailored Tails</t>
  </si>
  <si>
    <t>A website that takes information about a user and leverages AI to find the perfect dog currently in an adoption facility to match with the user for adoption.</t>
  </si>
  <si>
    <t>Christian Garcia</t>
  </si>
  <si>
    <t>TapIn MMA</t>
  </si>
  <si>
    <t>TapIn MMA is a web-based application we are developing to provide real-time data on MMA fighters and events. The platform will include features like fighter comparisons, event schedules, performance stats, and betting info. The goal is to make MMA more accessible for new fans while offering valuable insights and tools for the more experienced fans of the sport.</t>
  </si>
  <si>
    <t>I am committed to maintaining clear communication, providing regular updates, and collaborating closely with my group members to ensure the success of this project. As team leader I will be flexible with scheduling while supporting an equal division of responsibilities.</t>
  </si>
  <si>
    <t>Felix Arbucias</t>
  </si>
  <si>
    <t>TrueDoor</t>
  </si>
  <si>
    <t>AI Powered Real Estate Evaluator. The platform will aim to be a light weight, user friendly service that simply utilizes an address to cross reference with other websites to give a realistic estimation of a properties value.</t>
  </si>
  <si>
    <t>David Banisakher</t>
  </si>
  <si>
    <t>david@wholesalehub.ai</t>
  </si>
  <si>
    <t>Wholesale Hub Inc.</t>
  </si>
  <si>
    <t>Founder/CEO</t>
  </si>
  <si>
    <t>Bachelors Degree</t>
  </si>
  <si>
    <t>Wholesale Hub: Distributor‑First B2B Restocking MVP (CPG &amp; Beauty)</t>
  </si>
  <si>
    <t xml:space="preserve">Wholesale Hub is building a distributor-first B2B platform that enables retail buyers to place a single checkout across multiple distributors and receive clean, split purchase orders (POs) per supplier. The semester MVP is a private, login‑only web app that (1) ingests distributor price books, (2) processes real payments (card and ACH) via a hosted checkout, (3) generates POs and sends them to suppliers, and (4) supports shipping and tracking. Core objectives:
1. Auth &amp; Roles: email‑based login; roles for retailer, supplier, and admin; prices gated behind login.
2. Catalog &amp; Pricing: products, contract price tiers, MOQs, lead times; searchable catalog. Also, products are assigned to similar products in case of out-of-stock issues.
3. CSV Importer: column mapping, validation, and reject log to load distributor price books.
4. Checkout (real money): Stripe‑hosted checkout for cards and ACH; create one Order that splits into POs per supplier; store and email PO PDFs.
5. Shipping v0: Book freight shipments, capture tracking numbers; display status via a multi‑carrier tracking service. 
6. Compliance Vault: Store businesses' resale certificates; auto‑attach to POs.
7. Admin Tools: Edit price/availability, deactivate SKUs, resend POs, and partial refunds.
8. Quality &amp; Docs: Error logging, basic tests, setup guide, and short user/admin documentation.
Sprint Logistics:
David will serve as Product Owner. Team meets at the start and end of each two‑week sprint (biweekly), with short weekly async updates.
Student Opportunity:
There is a strong possibility of internships or employment with Wholesale Hub for high‑performing students upon successful completion of the project.
Required Skills/Interests:
● Web app development in JavaScript/TypeScript; familiarity with React/Next.js or similar
● Relational databases (Postgres), schema design, and basic SQL
● Integrating third‑party services/APIs (Stripe for payments; a tracking API such as AfterShip/EasyPost)
● REST APIs, webhooks, and JSON
● Version control (Git/GitHub) and issue tracking (e.g., GitHub Projects/Trello)
● Writing concise technical documentation and basic automated tests
● Interest in marketplaces, logistics, or B2B ecommerce
</t>
  </si>
  <si>
    <t>Ashley Francis</t>
  </si>
  <si>
    <t>AI Race Strategist</t>
  </si>
  <si>
    <t>Race strategy engineers are vital individuals to a team's success, analyzing realtime data to make decisions such as tire swaps, pitstops, and taking other strategic routes in an attempt to gain time on another team. These individiuals are responsible for a lot at once, they are one of the hearts of the team to ensure they can maximize the efficiency of the driver through factors of the car. For instance, taking a pitstop earlier than anticipated because they know other teams will soon have to do the same based on the public tire profile.
The purpose of this project: Create an AI helper that basically replaces what a race strategy engineer does. A race strategy engineer maximizes team placement using various factors such as driver technique, pitstop strategies, tire swap-out, and other basic functions. We’ll still to 3 - 4 measures (driver technique, tire changes, pitstops) to reduce intricacy of the project. This AI method will be used in addition to a race engineer, not substituting the need for one. It helps streamlines decisions and could provide two outcomes every time, a preferred and a backup in case the original method is not ideal under current conditions.
We'll use public Formula data from the series F4 - F1, this is the only variable that would change among the data is receives as there are some slightly different tactics among the 4 series. So the user would also be able to select which series its competing under, primed with any relevant information and past predictions in order to accurately account for the outcomes it may produce.
Security component: Implement an encryption method to avoid any wireless interferences between the car and the data received by the AI Engineer. This is critical, it would of course be against the rules to maliciously interfere with another team's data, but that still does not stop anyone. Outsiders could attempt to crack in to sabotage a team they dislike, other teams may hire under the table individuals to execute such, and just make the entire situation a dumpster fire. Spoofing or fuzzy attacks can always occur if altered from an outsider, resulting in that team making inaccurate decisions based off of altered data.</t>
  </si>
  <si>
    <t>Reinaldo Contreras</t>
  </si>
  <si>
    <t xml:space="preserve">AI Race Strategist </t>
  </si>
  <si>
    <t>Create an AI helper that basically replaces what a race strategy engineer does. A race strategy engineer maximizes team placement using various factors such as driver technique, pitstop strategies, tire swap-out, and other basic functions. We’ll still to 3 - 4 measures (driver technique, tire changes, pitstops) to reduce intricacy of the project. This AI method will be used in addition to a race engineer, not substituting the need for one. It helps streamlines decisions and could provide two outcomes every time, a preferred and a backup in case the original method is not ideal under current conditions.</t>
  </si>
  <si>
    <t>Isis Gomez</t>
  </si>
  <si>
    <t xml:space="preserve">Cybersecurity: Training Simulator for Cyber Security Employee </t>
  </si>
  <si>
    <t>Create an interactive training simulator for employees to learn about threats, such as phishing, malware, and password management. Game-like scenario based for training, progress tracking, feedback system, and performance reports.</t>
  </si>
  <si>
    <t>Mateo Julian Escobar</t>
  </si>
  <si>
    <t>Deploying a SIEM in Microsoft Azure</t>
  </si>
  <si>
    <t>For this project, I propose setting up a simple Security Information and Event Management (SIEM) system in Microsoft Azure using Microsoft Sentinel. The goal is to collect and analyze security-related logs from various Azure resources and virtual machines.
The students will configure Sentinel to connect with Azure Log Analytics, set up basic data connectors, and create simple detection rules. To simulate network activity, they will use Nmap to scan a virtual network, generating logs that will be processed by Sentinel. Additionally, Wireshark will be used to capture network traffic, ensuring that the logs are being correctly ingested and monitored by the system.</t>
  </si>
  <si>
    <t>Yanzhao Wu</t>
  </si>
  <si>
    <t>yawu@fiu.edu</t>
  </si>
  <si>
    <t>PhD in Computer Science</t>
  </si>
  <si>
    <t>Exploring Vulnerabilities in LLM Multi-Agent Systems</t>
  </si>
  <si>
    <t>Multi-agent systems powered by large language models (LLMs) are increasingly used to solve complex real-world problems through collaboration and communication between multiple LLM-based agents. However, these systems can introduce new security challenges, such as the risk of agents spreading misinformation, misinterpreting each other’s messages, or being manipulated by adversarial prompts. This project aims to identify common vulnerabilities in LLM-based multi-agent systems and explore effective strategies to improve their robustness. Students participating in this research will gain hands-on experience with large language models, multi-agent systems, and foundational cybersecurity concepts, while developing practical skills in analyzing and strengthening the safety of collaborative AI systems.</t>
  </si>
  <si>
    <t>Mauricio Ballart</t>
  </si>
  <si>
    <t>Mball074@fiu.edu</t>
  </si>
  <si>
    <t>Lock and Key: Encrypted Password Management and Collaboration System</t>
  </si>
  <si>
    <t>Matthew Chaar</t>
  </si>
  <si>
    <t>Lockstep - 2FA</t>
  </si>
  <si>
    <t>Lockstep is a privacy-first 2FA authenticator that generates time-based one-time codes (TOTP) offline and offers optional end-to-end–encrypted multi-device sync and painless account recovery.</t>
  </si>
  <si>
    <t>Brandon Gerber</t>
  </si>
  <si>
    <t>PhishEye</t>
  </si>
  <si>
    <t>PhishEye is a web extension designed to find phishing activity. The system analyzes sender information, embedded links, and suspicious patterns to identify potential threats before users engage with malicious content. By providing immediate, context aware warnings within the user’s environment, PhishEye aims to enhance awareness, reduce the risk of compromise, and support safer email practices. We aim to develop a lightweight, user friendly browser extension capable of detecting common phishing techniques in real time. Integrate phishing indicators such as domain spoofing, suspicious URLs, and abnormal sender behavior into the detection process and actionable alerts to users without disrupting their workflow.</t>
  </si>
  <si>
    <t>Weidong Zhu</t>
  </si>
  <si>
    <t>weizhu@fiu.edu</t>
  </si>
  <si>
    <t>KFSCIS at FIU</t>
  </si>
  <si>
    <t>Profiling Ransomware Attacks via Web Crawling and Textual Analysis</t>
  </si>
  <si>
    <t>Ransomware is a high-profile cybersecurity threat that has significantly impacted large companies, organizations, governments, and individuals in recent years. Moreover, recent research shows that ransomware attacks are becoming more sophiscated with advanced attack patterns, making current defenses unable to prevent data loss and exfiltration. To overcome this challenge, it is critical to uncover the unique attack patterns of current ransomware attacks. Unfortunately, many of recently-occurred ransomware samples are not available for researchers, limiting the investigation of their defenses. Therefore, this project aims to crawl publically available descriptions, such as news and reports, of ransomware attacks from the internet. Then, this project will further leverage textual analysis techniques (e.g., LLM) to analyze the retrieved dataset related with ransomware attacks to extract and classify the emerging ransomware attack patterns. With this project, we are able to identify emerging ransomware characteristics to inform our future ransowmare defense design.</t>
  </si>
  <si>
    <t>Stefan Dumitrasku</t>
  </si>
  <si>
    <t>Secure Med</t>
  </si>
  <si>
    <t>Develop a web-based tool to audit and secure patient data for a hospice company, focusing on detecting vulnerabilities in data storage and transmission. The tool will scan for common cybersecurity risks (e.g., weak encryption, unauthorized access points) and provide actionable recommendations to ensure compliance with HIPAA regulations. It will include a user-friendly dashboard to visualize audit results and a report generator for administrators. This project addresses real-world needs in healthcare cybersecurity, leveraging your experience at a hospice company.</t>
  </si>
  <si>
    <t xml:space="preserve">Damian Figueroa-Gonzalez </t>
  </si>
  <si>
    <t>USB Drop Attacks</t>
  </si>
  <si>
    <t xml:space="preserve">This project explores  the cybersecurity risks associated with USB  drop attacks. USB drop attacks are a form of social engineering in which malicious USB devices are left in public spaces to lure individuals into connecting them to their devices. The goal of this project is to stimulate a USB drop attack, sudy human behavior in plugging them in,  and documenting the process, risks, and mitigation strategies. </t>
  </si>
  <si>
    <t>Agoritsa Polyzou</t>
  </si>
  <si>
    <t>apolyzou@fiu.edu</t>
  </si>
  <si>
    <t>Assistant professor</t>
  </si>
  <si>
    <t>AI-Assisted Socially Interactive Advising Agents for STEM</t>
  </si>
  <si>
    <t>While universities aim to impart foundational knowledge, the rapid pace of technological advancement often leaves graduates underprepared for specific industry roles. Employers frequently cite a lack of alignment between what students learn in classrooms and the skills required on the job. Traditional methods of curriculum development and academic advising are insufficient in today’s dynamic environment. There is an urgent need for systems that can continuously learn from both educational and occupational domains and respond in real time. Advising remains manual, generalized, and disconnected from real-time hiring needs. Job descriptions evolve faster than programs can respond. As a result, even high-performing students may graduate without the tools to succeed in their target roles, while industries struggle to fill critical talent gaps. 
LLMs can process large-scale, heterogeneous data to provide real-time, context-aware guidance, but building an autonomous advising agent presents key challenges. These include dynamically personalizing recommendations based on evolving student trajectories, integrating live labor market signals, semantically aligning academic content with job requirements, and ensuring transparency, trust, and usability. 
We propose Aurora, an LLM-powered, semantically grounded agent designed to bridge the gap between education and employment. By continuously mapping course content to workforce demands and adapting through user and market feedback, Aurora aims to deliver personalized, forward-looking guidance to students while supporting curriculum optimization for institutions. 
Our aims are the following: 
(1) Develop an adaptive framework to align STEM curricula with evolving industry needs;
(2) Develop an intelligent advising system to deliver personalized student support based on real-time labor market insights;
(3) Develop socially interactive advising agents that communicate through emotionally engaging, personalized interactions.</t>
  </si>
  <si>
    <t>Data Science</t>
  </si>
  <si>
    <t>Carlos Hernandez</t>
  </si>
  <si>
    <t>Chern547@fiu.edu</t>
  </si>
  <si>
    <t>Genomic Variant Risk Prediction</t>
  </si>
  <si>
    <t>Chronic conditions like diabetes and cardiovascular disease are often detected only after symptoms appear, making treatment more costly and less effective. Existing risk models rely on broad demographic or lifestyle factors and overlook the complexity of genetic predispositions. Meanwhile, large genomic datasets remain underutilized because traditional models lack power and deep learning methods lack interpretability for clinical adoption.
This project aims to build a Genomic Variant Risk Prediction system that classifies disease predisposition from anonymized SNP/genomic data. The system combines ensemble methods (Random Forest, XGBoost) with deep genomic embeddings to produce accurate, interpretable risk scores. Integrated explainability methods (e.g., SHAP values) will highlight the most impactful variants, enabling transparency for clinicians and patients alike.
Core Objectives
Data Ingestion &amp; Preprocessing: Clean and normalize anonymized SNP/genomic datasets for downstream modeling.
Predictive Modeling: Train Random Forest, XGBoost, and deep learning models on genomic features to predict disease predisposition.
Interpretability Layer: Apply SHAP values and feature attribution methods to identify key variants driving predictions.
Evaluation Framework: Benchmark performance across accuracy, AUC, and interpretability metrics on public datasets (e.g., UK Biobank).
Visualization Dashboard: Provide an interface for risk scores and genetic factor explanations, enabling actionable preventative insights.
Integration Potential: Build a foundation for future integration into EHR systems, population health studies, and personalized wellness platforms.</t>
  </si>
  <si>
    <t>ScholarSync: AI-Powered Personalized Learning</t>
  </si>
  <si>
    <t>This project proposes the development of an adaptive AI-powered educational platform designed to personalize learning experiences across multiple academic disciplines. The platform will utilize natural language processing and machine learning algorithms to assess individual student comprehension levels, identify knowledge gaps, and dynamically adjust content delivery methods to match each learner's cognitive style and pace. Core requirements include a robust content management system capable of housing curricula for subjects ranging from mathematics and sciences to humanities, an intelligent tutoring system that can break down complex topics into digestible components, real-time progress tracking with detailed analytics, and seamless integration with existing learning management systems. The platform will employ multiple pedagogical approaches including visual representations, interactive simulations, step-by-step problem solving, and Socratic questioning to help students grasp challenging concepts such as calculus, organic chemistry, historical causation, or literary analysis. By providing immediate feedback, identifying misconceptions before they become entrenched, and offering alternative explanations when students struggle, this AI-driven solution addresses the critical need for individualized instruction in traditional classroom settings where teachers cannot provide one-on-one attention to every student, ultimately improving learning outcomes and reducing academic frustration across diverse student populations.</t>
  </si>
  <si>
    <t>Daniella Funtes</t>
  </si>
  <si>
    <t>Dfuen050@fiu.edu</t>
  </si>
  <si>
    <t>AI Mock Interview Prep</t>
  </si>
  <si>
    <t>The AI Mock Interview App allows users to practice job interviews while receiving feedback to improve their skills. This app helps users prepare for interviews by asking questions and giving tips to boost their confidence.</t>
  </si>
  <si>
    <t>Cesar Pereyra</t>
  </si>
  <si>
    <t>Automated Dev Environment Builder</t>
  </si>
  <si>
    <t>The Automated Dev/Test Environment Builder will make it easier for IT teams to quickly set up consistent development and testing environments. Using Ansible and Docker, the project will automate server setup, install required tools, and deploy a simple multi-container application with one command. This reduces setup time, avoids configuration mistakes, and ensures every environment is the same.</t>
  </si>
  <si>
    <t>Information technology</t>
  </si>
  <si>
    <t>Giovanna Curry</t>
  </si>
  <si>
    <t>Automated Network Configuration for IT Environements</t>
  </si>
  <si>
    <t xml:space="preserve">What is Auto-Sec?
Auto-Sec is a Python + Ansible automation platform that simplifies firewall, switch, and server setup. By combining Python orchestration with Ansible playbooks in YAML, it provides a repeatable and safe way to write and execute infrastructure policies. Firewall rules, SSH configurations, and VLAN setups can be rolled out into production, stage, and dev environments with a single command, making it quick and reliable to refresh.
This topology lends IT infrastructure consistency, security, and scalability. YAML templates avoid configuration drift, and key management automation and policy enforcement reduce misconfigurations and human error. Eliminating tedious manual processes and providing consistent, versioned deployments, Auto-Sec keeps teams productive and reliable as their environments grow.
Features:
•	SSH Configuration – Multi-switch, multi-router, and server standardized SSH configurations.
•	Multiple Authentication Methods – Password, key-based, and SSH agent authentication support.
•	Multi-Host Management – Manage production, staging, and development environments.
•	Consistent Policies – Enforce consistent network and firewall rules on devices.
•	Rapid Deployment – Deploy to hundreds of systems in minutes.
•	Ansible Integration – Human-readable YAML playbooks ensure repeatable, testable deployments.
•	Error Reduction – Automated key management and policy templates minimize misconfigurations.
</t>
  </si>
  <si>
    <t>Joseph McNulty-Lamparter</t>
  </si>
  <si>
    <t>Business Asset Management WebApp</t>
  </si>
  <si>
    <t>Esteban Oliva</t>
  </si>
  <si>
    <t>Cloud-Based Resume Builder</t>
  </si>
  <si>
    <t>This project aims to create an asset management and tracker dashboard for the owner or managers of a business to keep track of, add, and remove assets from a centralized database presented in a human readable format,</t>
  </si>
  <si>
    <t>Jayden Sandoval</t>
  </si>
  <si>
    <t>Computer Equipment Checkout Tracker</t>
  </si>
  <si>
    <t>Giordano Galarce</t>
  </si>
  <si>
    <t>CyberSafeGuard : an educational cybersecurity website</t>
  </si>
  <si>
    <t>Our project is dedicated to making cybersecurity knowledge accessible to everyone. We provide clear, practical resources on topics like network security, ethical hacking, digital privacy, and emerging threats. Whether you’re a student, professional, or simply curious about protecting yourself online, our goal is to help you build the skills and awareness needed to stay safe in today’s digital world.</t>
  </si>
  <si>
    <t>Felipe Lorenzo</t>
  </si>
  <si>
    <t>Expense Tracker App</t>
  </si>
  <si>
    <t>This project would produce a website where you input daily expenses, generating weekly or monthly reports, with analyzed user data suggesting budgeting or improvement for outliers.</t>
  </si>
  <si>
    <t>Miladys Perez</t>
  </si>
  <si>
    <t>Personal Budget Tracker Website: SmartSpender</t>
  </si>
  <si>
    <t>Christian Pereira</t>
  </si>
  <si>
    <t>SmartAsset : a web-based IT asset management solution</t>
  </si>
  <si>
    <t>The purpose of SmartAsset, a web-based IT asset management solution, is to assist small businesses in monitoring, controlling, and planning maintenance for their software and hardware assets. After analyzing the needs of typical IT departments, IT students will design and implement features like role-based access controls, warranty tracking, maintenance alerts, user-based asset assignment, and license expiration notices.</t>
  </si>
  <si>
    <t>Jonathan Powell</t>
  </si>
  <si>
    <t>jpowe007@fiu.edu</t>
  </si>
  <si>
    <t>Verified Student Group Collaboration Chat (FULL)</t>
  </si>
  <si>
    <t>A secure student focused group chat platform that uses university login verification to ensure only enrolled students can join, with project based chat rooms that auto expire at semesters end combining backend dev, network security, and user friendly design</t>
  </si>
  <si>
    <t>Design a dashboard that tracks/analyzes cloud usage and cost. using billing data from providers, the system will automatically process information and identifiy the issues to better optimize usage. Some issues can be: underutilized resources, unused resources, cost saving reccomendations, storaghe clean up, etc... The dashboard will present results with charts and descriptions, that help monitor spending trends, optimizing their cloud budget.</t>
  </si>
  <si>
    <t>Something was wrong with file format</t>
  </si>
  <si>
    <t>Finished</t>
  </si>
  <si>
    <t>In Progress</t>
  </si>
  <si>
    <t>Not received</t>
  </si>
  <si>
    <t>Received</t>
  </si>
  <si>
    <t>Emailed for resubmission</t>
  </si>
  <si>
    <t>poster was 8.5 x 11.34</t>
  </si>
  <si>
    <t>SUBMISSION 12/1 - PRINT THAT ONE</t>
  </si>
  <si>
    <t>EMAIL SENT FOR RESUBMISSION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</si>
</sst>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9" x14ac:knownFonts="1">
    <font>
      <sz val="11"/>
      <color theme="1"/>
      <name val="Calibri"/>
      <family val="2"/>
      <scheme val="minor"/>
    </font>
    <font>
      <sz val="11"/>
      <color rgb="FFFF0000"/>
      <name val="Calibri"/>
      <family val="2"/>
      <scheme val="minor"/>
    </font>
    <font>
      <b/>
      <sz val="11"/>
      <color theme="1"/>
      <name val="Calibri"/>
      <family val="2"/>
      <scheme val="minor"/>
    </font>
    <font>
      <sz val="11"/>
      <color rgb="FF000000"/>
      <name val="Calibri"/>
      <family val="2"/>
      <scheme val="minor"/>
    </font>
    <font>
      <sz val="11"/>
      <color rgb="FF006100"/>
      <name val="Calibri"/>
      <family val="2"/>
      <scheme val="minor"/>
    </font>
    <font>
      <sz val="8"/>
      <name val="Calibri"/>
      <family val="2"/>
      <scheme val="minor"/>
    </font>
    <font>
      <b/>
      <sz val="11"/>
      <color rgb="FFFF0000"/>
      <name val="Calibri"/>
      <family val="2"/>
      <scheme val="minor"/>
    </font>
    <font>
      <sz val="10"/>
      <color rgb="FFFFFFFF"/>
      <name val="Roboto"/>
    </font>
    <font>
      <sz val="10"/>
      <color rgb="FF434343"/>
      <name val="Roboto"/>
    </font>
    <font>
      <u/>
      <sz val="11"/>
      <color theme="10"/>
      <name val="Calibri"/>
      <family val="2"/>
      <scheme val="minor"/>
    </font>
    <font>
      <sz val="10"/>
      <color rgb="FF434343"/>
      <name val="Roboto"/>
      <charset val="1"/>
    </font>
    <font>
      <b/>
      <sz val="11"/>
      <color rgb="FF006100"/>
      <name val="Calibri"/>
      <family val="2"/>
      <scheme val="minor"/>
    </font>
    <font>
      <sz val="11"/>
      <color rgb="FF242424"/>
      <name val="Aptos Narrow"/>
    </font>
    <font>
      <b/>
      <sz val="11"/>
      <color rgb="FF000000"/>
      <name val="Calibri"/>
      <family val="2"/>
      <scheme val="minor"/>
    </font>
    <font>
      <i/>
      <sz val="11"/>
      <color theme="1"/>
      <name val="Calibri"/>
      <family val="2"/>
      <scheme val="minor"/>
    </font>
    <font>
      <sz val="11"/>
      <color rgb="FF000000"/>
      <name val="Calibri"/>
      <family val="2"/>
    </font>
    <font>
      <sz val="9"/>
      <color theme="1"/>
      <name val="Helvetica"/>
      <family val="2"/>
    </font>
    <font>
      <sz val="10"/>
      <color theme="1"/>
      <name val="Calibri"/>
      <family val="2"/>
      <scheme val="minor"/>
    </font>
    <font>
      <b/>
      <u/>
      <sz val="11"/>
      <color theme="10"/>
      <name val="Calibri"/>
      <family val="2"/>
      <scheme val="minor"/>
    </font>
    <font>
      <b/>
      <sz val="11"/>
      <color rgb="FF006100"/>
      <name val="Calibri"/>
      <family val="2"/>
    </font>
    <font>
      <sz val="11"/>
      <color rgb="FF006100"/>
      <name val="Calibri"/>
      <family val="2"/>
    </font>
    <font>
      <sz val="11"/>
      <color rgb="FF375623"/>
      <name val="Calibri"/>
      <family val="2"/>
      <scheme val="minor"/>
    </font>
    <font>
      <u/>
      <sz val="11"/>
      <color theme="1"/>
      <name val="Calibri"/>
      <family val="2"/>
      <scheme val="minor"/>
    </font>
    <font>
      <sz val="22"/>
      <color theme="1"/>
      <name val="Calibri"/>
      <family val="2"/>
      <scheme val="minor"/>
    </font>
    <font>
      <sz val="24"/>
      <color theme="1"/>
      <name val="Calibri"/>
      <family val="2"/>
      <scheme val="minor"/>
    </font>
    <font>
      <sz val="24"/>
      <color rgb="FFFF0000"/>
      <name val="Calibri"/>
      <family val="2"/>
      <scheme val="minor"/>
    </font>
    <font>
      <b/>
      <sz val="10"/>
      <color theme="1"/>
      <name val="Calibri"/>
      <family val="2"/>
      <scheme val="minor"/>
    </font>
    <font>
      <sz val="10"/>
      <color rgb="FFFF0000"/>
      <name val="Calibri"/>
      <family val="2"/>
      <scheme val="minor"/>
    </font>
    <font>
      <b/>
      <sz val="24"/>
      <color theme="1"/>
      <name val="Calibri"/>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rgb="FFC6EFCE"/>
        <bgColor indexed="64"/>
      </patternFill>
    </fill>
    <fill>
      <patternFill patternType="solid">
        <fgColor rgb="FF00B050"/>
        <bgColor indexed="64"/>
      </patternFill>
    </fill>
    <fill>
      <patternFill patternType="solid">
        <fgColor rgb="FFFF0000"/>
        <bgColor indexed="64"/>
      </patternFill>
    </fill>
  </fills>
  <borders count="4">
    <border>
      <left/>
      <right/>
      <top/>
      <bottom/>
      <diagonal/>
    </border>
    <border>
      <left/>
      <right/>
      <top style="thin">
        <color theme="4" tint="0.39997558519241921"/>
      </top>
      <bottom style="thin">
        <color theme="4" tint="0.39997558519241921"/>
      </bottom>
      <diagonal/>
    </border>
    <border>
      <left style="thin">
        <color rgb="FF9BC2E6"/>
      </left>
      <right/>
      <top style="thin">
        <color rgb="FF9BC2E6"/>
      </top>
      <bottom style="thin">
        <color rgb="FF9BC2E6"/>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0" fontId="9" fillId="0" borderId="0" applyNumberFormat="0" applyFill="0" applyBorder="0" applyAlignment="0" applyProtection="0"/>
  </cellStyleXfs>
  <cellXfs count="85">
    <xf numFmtId="0" fontId="0" fillId="0" borderId="0" xfId="0"/>
    <xf numFmtId="0" fontId="0" fillId="0" borderId="0" xfId="0" applyAlignment="1">
      <alignment vertical="center"/>
    </xf>
    <xf numFmtId="0" fontId="1" fillId="0" borderId="0" xfId="0" applyFont="1"/>
    <xf numFmtId="0" fontId="2" fillId="0" borderId="0" xfId="0" applyFont="1"/>
    <xf numFmtId="0" fontId="3" fillId="0" borderId="0" xfId="0" applyFont="1"/>
    <xf numFmtId="0" fontId="4" fillId="0" borderId="0" xfId="0" applyFont="1"/>
    <xf numFmtId="0" fontId="6" fillId="0" borderId="0" xfId="0" applyFont="1"/>
    <xf numFmtId="0" fontId="7" fillId="0" borderId="0" xfId="0" applyFont="1"/>
    <xf numFmtId="0" fontId="8" fillId="0" borderId="0" xfId="0" applyFont="1"/>
    <xf numFmtId="0" fontId="8" fillId="0" borderId="0" xfId="0" applyFont="1" applyAlignment="1">
      <alignment wrapText="1"/>
    </xf>
    <xf numFmtId="0" fontId="2" fillId="0" borderId="0" xfId="0" applyFont="1" applyAlignment="1">
      <alignment vertical="center"/>
    </xf>
    <xf numFmtId="0" fontId="9" fillId="0" borderId="0" xfId="1"/>
    <xf numFmtId="0" fontId="10" fillId="0" borderId="0" xfId="0" applyFont="1"/>
    <xf numFmtId="0" fontId="12" fillId="0" borderId="0" xfId="0" applyFont="1"/>
    <xf numFmtId="0" fontId="9" fillId="0" borderId="0" xfId="1" applyAlignment="1">
      <alignment vertical="center"/>
    </xf>
    <xf numFmtId="0" fontId="8" fillId="0" borderId="1" xfId="0" applyFont="1" applyBorder="1" applyAlignment="1">
      <alignment wrapText="1"/>
    </xf>
    <xf numFmtId="0" fontId="8" fillId="0" borderId="3" xfId="0" applyFont="1" applyBorder="1"/>
    <xf numFmtId="0" fontId="8" fillId="0" borderId="1" xfId="0" applyFont="1" applyBorder="1"/>
    <xf numFmtId="0" fontId="16" fillId="0" borderId="0" xfId="0" applyFont="1"/>
    <xf numFmtId="0" fontId="13" fillId="0" borderId="0" xfId="0" applyFont="1" applyAlignment="1">
      <alignment vertical="center"/>
    </xf>
    <xf numFmtId="0" fontId="0" fillId="0" borderId="0" xfId="0" applyAlignment="1">
      <alignment wrapText="1"/>
    </xf>
    <xf numFmtId="0" fontId="11" fillId="0" borderId="0" xfId="0" applyFont="1"/>
    <xf numFmtId="0" fontId="13" fillId="0" borderId="0" xfId="0" applyFont="1"/>
    <xf numFmtId="0" fontId="14" fillId="0" borderId="0" xfId="0" applyFont="1"/>
    <xf numFmtId="0" fontId="15" fillId="0" borderId="0" xfId="0" applyFont="1"/>
    <xf numFmtId="0" fontId="17" fillId="0" borderId="0" xfId="0" applyFont="1"/>
    <xf numFmtId="0" fontId="0" fillId="0" borderId="1" xfId="0" applyBorder="1" applyAlignment="1">
      <alignment vertical="center"/>
    </xf>
    <xf numFmtId="0" fontId="0" fillId="2" borderId="0" xfId="0" applyFill="1" applyAlignment="1">
      <alignment horizontal="left" vertical="center"/>
    </xf>
    <xf numFmtId="0" fontId="18" fillId="0" borderId="0" xfId="1" applyFont="1"/>
    <xf numFmtId="0" fontId="9" fillId="0" borderId="0" xfId="1" applyFill="1" applyAlignment="1"/>
    <xf numFmtId="0" fontId="2" fillId="2" borderId="0" xfId="0" applyFont="1" applyFill="1" applyAlignment="1">
      <alignment horizontal="left" vertical="center"/>
    </xf>
    <xf numFmtId="0" fontId="0" fillId="2" borderId="2" xfId="0" applyFill="1" applyBorder="1" applyAlignment="1">
      <alignment horizontal="left" vertical="center"/>
    </xf>
    <xf numFmtId="0" fontId="2" fillId="0" borderId="1" xfId="0" applyFont="1" applyBorder="1"/>
    <xf numFmtId="0" fontId="0" fillId="2" borderId="1" xfId="0" applyFill="1" applyBorder="1"/>
    <xf numFmtId="0" fontId="0" fillId="0" borderId="1" xfId="0" applyBorder="1"/>
    <xf numFmtId="0" fontId="4" fillId="3" borderId="0" xfId="0" applyFont="1" applyFill="1"/>
    <xf numFmtId="0" fontId="1" fillId="0" borderId="0" xfId="0" applyFont="1" applyAlignment="1">
      <alignment vertical="center"/>
    </xf>
    <xf numFmtId="0" fontId="6" fillId="0" borderId="0" xfId="0" applyFont="1" applyAlignment="1">
      <alignment vertical="center"/>
    </xf>
    <xf numFmtId="0" fontId="19" fillId="0" borderId="0" xfId="0" applyFont="1"/>
    <xf numFmtId="0" fontId="20" fillId="0" borderId="0" xfId="0" applyFont="1"/>
    <xf numFmtId="0" fontId="21" fillId="0" borderId="0" xfId="0" applyFont="1"/>
    <xf numFmtId="0" fontId="0" fillId="4" borderId="0" xfId="0" applyFill="1"/>
    <xf numFmtId="0" fontId="0" fillId="5" borderId="0" xfId="0" applyFill="1"/>
    <xf numFmtId="0" fontId="2" fillId="4" borderId="0" xfId="0" applyFont="1" applyFill="1"/>
    <xf numFmtId="0" fontId="2" fillId="4" borderId="0" xfId="0" applyFont="1" applyFill="1" applyAlignment="1">
      <alignment vertical="center"/>
    </xf>
    <xf numFmtId="0" fontId="0" fillId="4" borderId="0" xfId="0" applyFill="1" applyAlignment="1">
      <alignment vertical="center"/>
    </xf>
    <xf numFmtId="0" fontId="9" fillId="4" borderId="0" xfId="1" applyFill="1"/>
    <xf numFmtId="0" fontId="0" fillId="4" borderId="1" xfId="0" applyFill="1" applyBorder="1" applyAlignment="1">
      <alignment vertical="center"/>
    </xf>
    <xf numFmtId="0" fontId="1" fillId="4" borderId="0" xfId="0" applyFont="1" applyFill="1"/>
    <xf numFmtId="0" fontId="6" fillId="4" borderId="0" xfId="0" applyFont="1" applyFill="1"/>
    <xf numFmtId="0" fontId="9" fillId="4" borderId="0" xfId="1" applyFill="1" applyAlignment="1">
      <alignment vertical="center"/>
    </xf>
    <xf numFmtId="0" fontId="12" fillId="4" borderId="0" xfId="0" applyFont="1" applyFill="1"/>
    <xf numFmtId="0" fontId="2" fillId="4" borderId="1" xfId="0" applyFont="1" applyFill="1" applyBorder="1" applyAlignment="1">
      <alignment vertical="center"/>
    </xf>
    <xf numFmtId="0" fontId="15" fillId="4" borderId="0" xfId="0" applyFont="1" applyFill="1"/>
    <xf numFmtId="0" fontId="0" fillId="5" borderId="0" xfId="0" applyFill="1" applyAlignment="1">
      <alignment vertical="center"/>
    </xf>
    <xf numFmtId="0" fontId="2" fillId="5" borderId="0" xfId="0" applyFont="1" applyFill="1" applyAlignment="1">
      <alignment vertical="center"/>
    </xf>
    <xf numFmtId="0" fontId="2" fillId="5" borderId="0" xfId="0" applyFont="1" applyFill="1"/>
    <xf numFmtId="0" fontId="24" fillId="0" borderId="0" xfId="0" applyFont="1" applyAlignment="1">
      <alignment horizontal="center" vertical="center"/>
    </xf>
    <xf numFmtId="0" fontId="17" fillId="0" borderId="0" xfId="0" applyFont="1" applyAlignment="1">
      <alignment horizontal="center" vertical="center"/>
    </xf>
    <xf numFmtId="0" fontId="17" fillId="0" borderId="0" xfId="0" applyFont="1" applyAlignment="1">
      <alignment vertical="center"/>
    </xf>
    <xf numFmtId="0" fontId="0" fillId="0" borderId="0" xfId="1" applyFont="1" applyFill="1" applyAlignment="1"/>
    <xf numFmtId="0" fontId="17" fillId="0" borderId="0" xfId="1" applyFont="1" applyFill="1" applyAlignment="1"/>
    <xf numFmtId="0" fontId="26" fillId="0" borderId="0" xfId="0" applyFont="1"/>
    <xf numFmtId="0" fontId="27" fillId="0" borderId="0" xfId="0" applyFont="1" applyAlignment="1">
      <alignment horizontal="center" vertical="center"/>
    </xf>
    <xf numFmtId="0" fontId="27" fillId="0" borderId="0" xfId="0" applyFont="1"/>
    <xf numFmtId="0" fontId="1" fillId="0" borderId="0" xfId="0" applyFont="1" applyAlignment="1">
      <alignment horizontal="center" vertical="center"/>
    </xf>
    <xf numFmtId="0" fontId="0" fillId="0" borderId="0" xfId="0" applyAlignment="1">
      <alignment horizontal="left" vertical="center"/>
    </xf>
    <xf numFmtId="0" fontId="24" fillId="0" borderId="0" xfId="0" applyFont="1" applyAlignment="1">
      <alignment vertical="center"/>
    </xf>
    <xf numFmtId="0" fontId="22" fillId="4" borderId="0" xfId="1" applyFont="1" applyFill="1"/>
    <xf numFmtId="0" fontId="22" fillId="4" borderId="0" xfId="1" applyFont="1" applyFill="1" applyAlignment="1"/>
    <xf numFmtId="0" fontId="0" fillId="4" borderId="0" xfId="0" applyFill="1" applyAlignment="1">
      <alignment horizontal="left" vertical="center"/>
    </xf>
    <xf numFmtId="0" fontId="2" fillId="4" borderId="0" xfId="0" applyFont="1" applyFill="1" applyAlignment="1">
      <alignment horizontal="left" vertical="center"/>
    </xf>
    <xf numFmtId="0" fontId="3" fillId="4" borderId="0" xfId="0" applyFont="1" applyFill="1"/>
    <xf numFmtId="0" fontId="9" fillId="4" borderId="0" xfId="1" applyFill="1" applyAlignment="1"/>
    <xf numFmtId="0" fontId="18" fillId="4" borderId="0" xfId="1" applyFont="1" applyFill="1"/>
    <xf numFmtId="0" fontId="0" fillId="4" borderId="2" xfId="0" applyFill="1" applyBorder="1" applyAlignment="1">
      <alignment vertical="center"/>
    </xf>
    <xf numFmtId="0" fontId="13" fillId="4" borderId="0" xfId="0" applyFont="1" applyFill="1"/>
    <xf numFmtId="0" fontId="13" fillId="4" borderId="0" xfId="0" applyFont="1" applyFill="1" applyAlignment="1">
      <alignment vertical="center"/>
    </xf>
    <xf numFmtId="0" fontId="2" fillId="3" borderId="0" xfId="0" applyFont="1" applyFill="1"/>
    <xf numFmtId="0" fontId="0" fillId="3" borderId="0" xfId="0" applyFill="1"/>
    <xf numFmtId="0" fontId="24" fillId="4" borderId="0" xfId="0" applyFont="1" applyFill="1" applyAlignment="1">
      <alignment horizontal="center" vertical="center"/>
    </xf>
    <xf numFmtId="0" fontId="25" fillId="4" borderId="0" xfId="0" applyFont="1" applyFill="1" applyAlignment="1">
      <alignment horizontal="center" vertical="center"/>
    </xf>
    <xf numFmtId="0" fontId="23" fillId="4" borderId="0" xfId="0" applyFont="1" applyFill="1" applyAlignment="1">
      <alignment horizontal="center" vertical="center"/>
    </xf>
    <xf numFmtId="0" fontId="28" fillId="4" borderId="0" xfId="0" applyFont="1" applyFill="1" applyAlignment="1">
      <alignment horizontal="center" vertical="center"/>
    </xf>
    <xf numFmtId="0" fontId="24" fillId="5" borderId="0" xfId="0" applyFont="1" applyFill="1" applyAlignment="1">
      <alignment horizontal="center" vertical="center"/>
    </xf>
  </cellXfs>
  <cellStyles count="2">
    <cellStyle name="Hyperlink" xfId="1" builtinId="8"/>
    <cellStyle name="Normal" xfId="0" builtinId="0"/>
  </cellStyles>
  <dxfs count="140">
    <dxf>
      <font>
        <color rgb="FF9C5700"/>
      </font>
      <fill>
        <patternFill>
          <bgColor rgb="FFFFEB9C"/>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rgb="FFFFC7CE"/>
        </patternFill>
      </fill>
    </dxf>
    <dxf>
      <font>
        <color rgb="FF9C0006"/>
      </font>
      <fill>
        <patternFill>
          <bgColor rgb="FFFFC7CE"/>
        </patternFill>
      </fill>
    </dxf>
    <dxf>
      <fill>
        <patternFill>
          <bgColor rgb="FFFFC7CE"/>
        </patternFill>
      </fill>
    </dxf>
    <dxf>
      <font>
        <color rgb="FF9C5700"/>
      </font>
      <fill>
        <patternFill>
          <bgColor rgb="FFFFEB9C"/>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5700"/>
      </font>
      <fill>
        <patternFill>
          <bgColor rgb="FFFFEB9C"/>
        </patternFill>
      </fill>
    </dxf>
    <dxf>
      <font>
        <color rgb="FF9C5700"/>
      </font>
      <fill>
        <patternFill>
          <bgColor rgb="FFFFEB9C"/>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5700"/>
      </font>
      <fill>
        <patternFill>
          <bgColor rgb="FFFFEB9C"/>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b val="0"/>
        <i val="0"/>
        <strike val="0"/>
        <outline val="0"/>
        <shadow val="0"/>
        <u val="none"/>
        <vertAlign val="baseline"/>
        <sz val="11"/>
        <color theme="1"/>
        <name val="Calibri"/>
        <family val="2"/>
        <scheme val="minor"/>
      </font>
      <numFmt numFmtId="0" formatCode="General"/>
      <fill>
        <patternFill patternType="none">
          <fgColor auto="1"/>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auto="1"/>
          <bgColor auto="1"/>
        </patternFill>
      </fill>
      <alignment horizontal="general" vertical="center" textRotation="0" wrapText="0" indent="0" justifyLastLine="0" shrinkToFit="0" readingOrder="0"/>
    </dxf>
    <dxf>
      <font>
        <b val="0"/>
        <strike val="0"/>
        <outline val="0"/>
        <shadow val="0"/>
        <u val="none"/>
        <vertAlign val="baseline"/>
        <sz val="11"/>
        <color theme="1"/>
        <name val="Calibri"/>
        <family val="2"/>
        <scheme val="minor"/>
      </font>
      <numFmt numFmtId="0" formatCode="General"/>
      <fill>
        <patternFill patternType="none">
          <fgColor auto="1"/>
          <bgColor auto="1"/>
        </patternFill>
      </fill>
      <alignment vertical="center" textRotation="0" wrapText="0" indent="0" justifyLastLine="0" shrinkToFit="0" readingOrder="0"/>
    </dxf>
    <dxf>
      <font>
        <b val="0"/>
        <strike val="0"/>
        <outline val="0"/>
        <shadow val="0"/>
        <u val="none"/>
        <vertAlign val="baseline"/>
        <sz val="11"/>
        <name val="Calibri"/>
        <family val="2"/>
        <scheme val="minor"/>
      </font>
      <numFmt numFmtId="0" formatCode="General"/>
      <alignment horizontal="general" vertical="center" textRotation="0" wrapText="0" indent="0" justifyLastLine="0" shrinkToFit="0" readingOrder="0"/>
    </dxf>
    <dxf>
      <font>
        <b val="0"/>
        <strike val="0"/>
        <outline val="0"/>
        <shadow val="0"/>
        <u val="none"/>
        <vertAlign val="baseline"/>
        <sz val="11"/>
        <name val="Calibri"/>
        <family val="2"/>
        <scheme val="minor"/>
      </font>
      <numFmt numFmtId="0" formatCode="General"/>
      <alignment horizontal="general" vertical="center" textRotation="0" wrapText="0" indent="0" justifyLastLine="0" shrinkToFit="0" readingOrder="0"/>
    </dxf>
    <dxf>
      <font>
        <b val="0"/>
        <strike val="0"/>
        <outline val="0"/>
        <shadow val="0"/>
        <u val="none"/>
        <vertAlign val="baseline"/>
        <sz val="11"/>
        <name val="Calibri"/>
        <family val="2"/>
        <scheme val="minor"/>
      </font>
      <numFmt numFmtId="0" formatCode="General"/>
      <alignment horizontal="general" vertical="center" textRotation="0" wrapText="0" indent="0" justifyLastLine="0" shrinkToFit="0" readingOrder="0"/>
    </dxf>
    <dxf>
      <font>
        <b val="0"/>
        <strike val="0"/>
        <outline val="0"/>
        <shadow val="0"/>
        <u val="none"/>
        <vertAlign val="baseline"/>
        <sz val="11"/>
        <color theme="1"/>
        <name val="Calibri"/>
        <family val="2"/>
        <scheme val="minor"/>
      </font>
      <fill>
        <patternFill patternType="none">
          <fgColor auto="1"/>
          <bgColor auto="1"/>
        </patternFill>
      </fill>
      <alignment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auto="1"/>
          <bgColor auto="1"/>
        </patternFill>
      </fill>
      <alignment textRotation="0" wrapText="0" indent="0" justifyLastLine="0" shrinkToFit="0" readingOrder="0"/>
    </dxf>
    <dxf>
      <font>
        <b val="0"/>
        <i val="0"/>
        <strike val="0"/>
        <outline val="0"/>
        <shadow val="0"/>
        <u val="none"/>
        <vertAlign val="baseline"/>
        <sz val="11"/>
        <color theme="1"/>
        <name val="Calibri"/>
        <family val="2"/>
        <scheme val="minor"/>
      </font>
      <fill>
        <patternFill patternType="none">
          <fgColor auto="1"/>
          <bgColor auto="1"/>
        </patternFill>
      </fill>
      <alignment textRotation="0" wrapText="0" indent="0" justifyLastLine="0" shrinkToFit="0" readingOrder="0"/>
    </dxf>
    <dxf>
      <font>
        <b val="0"/>
        <i val="0"/>
        <strike val="0"/>
        <outline val="0"/>
        <shadow val="0"/>
        <u val="none"/>
        <vertAlign val="baseline"/>
        <sz val="11"/>
        <color theme="1"/>
        <name val="Calibri"/>
        <family val="2"/>
        <scheme val="minor"/>
      </font>
      <fill>
        <patternFill patternType="none">
          <fgColor auto="1"/>
          <bgColor auto="1"/>
        </patternFill>
      </fill>
      <alignment textRotation="0" wrapText="0" indent="0" justifyLastLine="0" shrinkToFit="0" readingOrder="0"/>
    </dxf>
    <dxf>
      <font>
        <b val="0"/>
        <i val="0"/>
        <strike val="0"/>
        <outline val="0"/>
        <shadow val="0"/>
        <u val="none"/>
        <vertAlign val="baseline"/>
        <sz val="11"/>
        <color theme="1"/>
        <name val="Calibri"/>
        <family val="2"/>
        <scheme val="minor"/>
      </font>
      <fill>
        <patternFill patternType="none">
          <fgColor auto="1"/>
          <bgColor auto="1"/>
        </patternFill>
      </fill>
      <alignment textRotation="0" wrapText="0" indent="0" justifyLastLine="0" shrinkToFit="0" readingOrder="0"/>
    </dxf>
    <dxf>
      <font>
        <b val="0"/>
        <strike val="0"/>
        <outline val="0"/>
        <shadow val="0"/>
        <vertAlign val="baseline"/>
        <sz val="11"/>
        <color theme="1"/>
        <name val="Calibri"/>
        <family val="2"/>
        <scheme val="minor"/>
      </font>
      <fill>
        <patternFill patternType="none">
          <fgColor auto="1"/>
          <bgColor auto="1"/>
        </patternFill>
      </fill>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auto="1"/>
          <bgColor auto="1"/>
        </patternFill>
      </fill>
      <alignment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auto="1"/>
          <bgColor auto="1"/>
        </patternFill>
      </fill>
      <alignment textRotation="0" wrapText="0" indent="0" justifyLastLine="0" shrinkToFit="0" readingOrder="0"/>
    </dxf>
    <dxf>
      <font>
        <b val="0"/>
        <i val="0"/>
        <strike val="0"/>
        <condense val="0"/>
        <extend val="0"/>
        <outline val="0"/>
        <shadow val="0"/>
        <u val="none"/>
        <vertAlign val="baseline"/>
        <sz val="11"/>
        <color rgb="FF006100"/>
        <name val="Calibri"/>
        <family val="2"/>
        <scheme val="minor"/>
      </font>
      <fill>
        <patternFill patternType="none">
          <fgColor auto="1"/>
          <bgColor auto="1"/>
        </patternFill>
      </fill>
      <alignment textRotation="0" wrapText="0" indent="0" justifyLastLine="0" shrinkToFit="0" readingOrder="0"/>
    </dxf>
    <dxf>
      <font>
        <b val="0"/>
        <i val="0"/>
        <strike val="0"/>
        <outline val="0"/>
        <shadow val="0"/>
        <u val="none"/>
        <vertAlign val="baseline"/>
        <sz val="11"/>
        <color theme="1"/>
        <name val="Calibri"/>
        <family val="2"/>
        <scheme val="minor"/>
      </font>
      <fill>
        <patternFill patternType="none">
          <fgColor auto="1"/>
          <bgColor auto="1"/>
        </patternFill>
      </fill>
      <alignment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auto="1"/>
          <bgColor auto="1"/>
        </patternFill>
      </fill>
      <alignment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auto="1"/>
          <bgColor auto="1"/>
        </patternFill>
      </fill>
      <alignment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auto="1"/>
          <bgColor auto="1"/>
        </patternFill>
      </fill>
      <alignment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auto="1"/>
          <bgColor auto="1"/>
        </patternFill>
      </fill>
      <alignment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auto="1"/>
          <bgColor auto="1"/>
        </patternFill>
      </fill>
      <alignment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auto="1"/>
          <bgColor auto="1"/>
        </patternFill>
      </fill>
      <alignment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auto="1"/>
          <bgColor auto="1"/>
        </patternFill>
      </fill>
      <alignment textRotation="0" wrapText="0" indent="0" justifyLastLine="0" shrinkToFit="0" readingOrder="0"/>
    </dxf>
    <dxf>
      <font>
        <b val="0"/>
        <i val="0"/>
        <strike val="0"/>
        <outline val="0"/>
        <shadow val="0"/>
        <u val="none"/>
        <vertAlign val="baseline"/>
        <sz val="11"/>
        <color theme="1"/>
        <name val="Calibri"/>
        <family val="2"/>
        <scheme val="minor"/>
      </font>
      <fill>
        <patternFill patternType="none">
          <fgColor auto="1"/>
          <bgColor auto="1"/>
        </patternFill>
      </fill>
      <alignment textRotation="0" wrapText="0" indent="0" justifyLastLine="0" shrinkToFit="0" readingOrder="0"/>
    </dxf>
    <dxf>
      <font>
        <b val="0"/>
        <i val="0"/>
        <strike val="0"/>
        <outline val="0"/>
        <shadow val="0"/>
        <u val="none"/>
        <vertAlign val="baseline"/>
        <sz val="11"/>
        <color theme="1"/>
        <name val="Calibri"/>
        <family val="2"/>
        <scheme val="minor"/>
      </font>
      <fill>
        <patternFill patternType="none">
          <fgColor auto="1"/>
          <bgColor auto="1"/>
        </patternFill>
      </fill>
      <alignment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auto="1"/>
          <bgColor auto="1"/>
        </patternFill>
      </fill>
      <alignment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auto="1"/>
          <bgColor auto="1"/>
        </patternFill>
      </fill>
      <alignment horizontal="general" vertical="center" textRotation="0" wrapText="0" indent="0" justifyLastLine="0" shrinkToFit="0" readingOrder="0"/>
    </dxf>
    <dxf>
      <font>
        <b val="0"/>
        <strike val="0"/>
        <outline val="0"/>
        <shadow val="0"/>
        <u val="none"/>
        <vertAlign val="baseline"/>
        <sz val="11"/>
        <color theme="1"/>
        <name val="Calibri"/>
        <family val="2"/>
        <scheme val="minor"/>
      </font>
      <numFmt numFmtId="0" formatCode="General"/>
      <fill>
        <patternFill patternType="none">
          <fgColor auto="1"/>
          <bgColor auto="1"/>
        </patternFill>
      </fill>
      <alignment vertical="center" textRotation="0" wrapText="0" indent="0" justifyLastLine="0" shrinkToFit="0" readingOrder="0"/>
    </dxf>
    <dxf>
      <font>
        <b val="0"/>
        <strike val="0"/>
        <outline val="0"/>
        <shadow val="0"/>
        <u val="none"/>
        <vertAlign val="baseline"/>
        <sz val="11"/>
        <name val="Calibri"/>
        <family val="2"/>
        <scheme val="minor"/>
      </font>
      <numFmt numFmtId="0" formatCode="General"/>
      <alignment horizontal="general" vertical="center" textRotation="0" wrapText="0" indent="0" justifyLastLine="0" shrinkToFit="0" readingOrder="0"/>
    </dxf>
    <dxf>
      <font>
        <b val="0"/>
        <strike val="0"/>
        <outline val="0"/>
        <shadow val="0"/>
        <u val="none"/>
        <vertAlign val="baseline"/>
        <sz val="11"/>
        <name val="Calibri"/>
        <family val="2"/>
        <scheme val="minor"/>
      </font>
      <numFmt numFmtId="0" formatCode="General"/>
      <alignment horizontal="general" vertical="center" textRotation="0" wrapText="0" indent="0" justifyLastLine="0" shrinkToFit="0" readingOrder="0"/>
    </dxf>
    <dxf>
      <font>
        <b val="0"/>
        <strike val="0"/>
        <outline val="0"/>
        <shadow val="0"/>
        <u val="none"/>
        <vertAlign val="baseline"/>
        <sz val="11"/>
        <name val="Calibri"/>
        <family val="2"/>
        <scheme val="minor"/>
      </font>
      <numFmt numFmtId="0" formatCode="General"/>
      <alignment horizontal="general" vertical="center" textRotation="0" wrapText="0" indent="0" justifyLastLine="0" shrinkToFit="0" readingOrder="0"/>
    </dxf>
    <dxf>
      <font>
        <b val="0"/>
        <strike val="0"/>
        <outline val="0"/>
        <shadow val="0"/>
        <u val="none"/>
        <vertAlign val="baseline"/>
        <sz val="11"/>
        <name val="Calibri"/>
        <family val="2"/>
        <scheme val="minor"/>
      </font>
      <numFmt numFmtId="0" formatCode="General"/>
      <alignment horizontal="general" vertical="center" textRotation="0" wrapText="0" indent="0" justifyLastLine="0" shrinkToFit="0" readingOrder="0"/>
    </dxf>
    <dxf>
      <font>
        <b val="0"/>
        <strike val="0"/>
        <outline val="0"/>
        <shadow val="0"/>
        <u val="none"/>
        <vertAlign val="baseline"/>
        <sz val="11"/>
        <color theme="1"/>
        <name val="Calibri"/>
        <family val="2"/>
        <scheme val="minor"/>
      </font>
      <fill>
        <patternFill patternType="none">
          <fgColor auto="1"/>
          <bgColor auto="1"/>
        </patternFill>
      </fill>
      <alignment textRotation="0" wrapText="0" indent="0" justifyLastLine="0" shrinkToFit="0" readingOrder="0"/>
    </dxf>
    <dxf>
      <font>
        <b val="0"/>
        <i val="0"/>
        <strike val="0"/>
        <outline val="0"/>
        <shadow val="0"/>
        <u val="none"/>
        <vertAlign val="baseline"/>
        <sz val="11"/>
        <color theme="1"/>
        <name val="Calibri"/>
        <family val="2"/>
        <scheme val="minor"/>
      </font>
      <fill>
        <patternFill patternType="none">
          <fgColor indexed="64"/>
          <bgColor indexed="65"/>
        </patternFill>
      </fill>
      <alignment textRotation="0" wrapText="0" indent="0" justifyLastLine="0" shrinkToFit="0" readingOrder="0"/>
    </dxf>
    <dxf>
      <font>
        <strike val="0"/>
        <outline val="0"/>
        <shadow val="0"/>
        <u val="none"/>
        <vertAlign val="baseline"/>
        <sz val="11"/>
        <name val="Calibri"/>
        <family val="2"/>
        <scheme val="minor"/>
      </font>
      <alignment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auto="1"/>
          <bgColor auto="1"/>
        </patternFill>
      </fill>
      <alignment textRotation="0" wrapText="0" indent="0" justifyLastLine="0" shrinkToFit="0" readingOrder="0"/>
    </dxf>
    <dxf>
      <font>
        <b val="0"/>
        <i val="0"/>
        <strike val="0"/>
        <outline val="0"/>
        <shadow val="0"/>
        <u val="none"/>
        <vertAlign val="baseline"/>
        <sz val="11"/>
        <color theme="1"/>
        <name val="Calibri"/>
        <family val="2"/>
        <scheme val="minor"/>
      </font>
      <fill>
        <patternFill patternType="none">
          <fgColor auto="1"/>
          <bgColor auto="1"/>
        </patternFill>
      </fill>
      <alignment textRotation="0" wrapText="0" indent="0" justifyLastLine="0" shrinkToFit="0" readingOrder="0"/>
    </dxf>
    <dxf>
      <font>
        <b val="0"/>
        <i val="0"/>
        <strike val="0"/>
        <outline val="0"/>
        <shadow val="0"/>
        <u val="none"/>
        <vertAlign val="baseline"/>
        <sz val="11"/>
        <color theme="1"/>
        <name val="Calibri"/>
        <family val="2"/>
        <scheme val="minor"/>
      </font>
      <fill>
        <patternFill patternType="none">
          <fgColor auto="1"/>
          <bgColor auto="1"/>
        </patternFill>
      </fill>
      <alignment textRotation="0" wrapText="0" indent="0" justifyLastLine="0" shrinkToFit="0" readingOrder="0"/>
    </dxf>
    <dxf>
      <font>
        <b val="0"/>
        <i val="0"/>
        <strike val="0"/>
        <outline val="0"/>
        <shadow val="0"/>
        <u val="none"/>
        <vertAlign val="baseline"/>
        <sz val="11"/>
        <color theme="1"/>
        <name val="Calibri"/>
        <family val="2"/>
        <scheme val="minor"/>
      </font>
      <fill>
        <patternFill patternType="none">
          <fgColor auto="1"/>
          <bgColor auto="1"/>
        </patternFill>
      </fill>
      <alignment textRotation="0" wrapText="0" indent="0" justifyLastLine="0" shrinkToFit="0" readingOrder="0"/>
    </dxf>
    <dxf>
      <font>
        <b val="0"/>
        <strike val="0"/>
        <outline val="0"/>
        <shadow val="0"/>
        <vertAlign val="baseline"/>
        <sz val="11"/>
        <color theme="1"/>
        <name val="Calibri"/>
        <family val="2"/>
        <scheme val="minor"/>
      </font>
      <fill>
        <patternFill patternType="none">
          <fgColor auto="1"/>
          <bgColor auto="1"/>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defaultTableStyle="TableStyleMedium2" defaultPivotStyle="PivotStyleLight16">
    <tableStyle name="Form Responses 1-style" pivot="0" count="3" xr9:uid="{689FA6A7-8611-2448-AA06-4F6531A191F3}">
      <tableStyleElement type="headerRow" dxfId="139"/>
      <tableStyleElement type="firstRowStripe" dxfId="138"/>
      <tableStyleElement type="secondRowStripe" dxfId="137"/>
    </tableStyle>
  </tableStyles>
  <colors>
    <mruColors>
      <color rgb="FFC6EFCE"/>
      <color rgb="FF0061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DFD052-FBD9-574F-9665-B80DC43F2E1E}" name="TableFA2132" displayName="TableFA2132" ref="A1:AC250" totalsRowShown="0" headerRowDxfId="136" dataDxfId="135">
  <sortState xmlns:xlrd2="http://schemas.microsoft.com/office/spreadsheetml/2017/richdata2" ref="A2:AC250">
    <sortCondition ref="C2:C250"/>
    <sortCondition ref="F2:F250"/>
    <sortCondition descending="1" ref="M2:M250"/>
    <sortCondition ref="B2:B250"/>
  </sortState>
  <tableColumns count="29">
    <tableColumn id="1" xr3:uid="{D08C4D28-9874-DB44-8A4D-BC037617AFE8}" name="Email" dataDxfId="134"/>
    <tableColumn id="2" xr3:uid="{655C6104-A182-4A46-BCF3-F77A9AE8E2CC}" name="Name" dataDxfId="133"/>
    <tableColumn id="29" xr3:uid="{4840101D-8102-554C-A5D3-05647F0D5EC5}" name="Program" dataDxfId="132"/>
    <tableColumn id="28" xr3:uid="{808332DB-9E8D-CF4B-9EE9-072BB1384919}" name="Mode" dataDxfId="131"/>
    <tableColumn id="3" xr3:uid="{7C131C38-3EB9-E241-9151-360AA496EE3F}" name="Class" dataDxfId="130"/>
    <tableColumn id="4" xr3:uid="{90E8FB08-34B4-E34E-B661-AEACEE4FE0C2}" name="Project" dataDxfId="129"/>
    <tableColumn id="37" xr3:uid="{A150AA7A-E160-504C-8358-710287C7A7A7}" name="Product Owner" dataDxfId="128">
      <calculatedColumnFormula>_xlfn.XLOOKUP(TableFA2132[[#This Row],[Project]],Projects[Project],Projects[Full Name],"")</calculatedColumnFormula>
    </tableColumn>
    <tableColumn id="6" xr3:uid="{AE9D8B0D-6AF2-C74C-99E0-30A72EAE2488}" name="Email2" dataDxfId="127">
      <calculatedColumnFormula>_xlfn.XLOOKUP(TableFA2132[[#This Row],[Project]],Projects[Project],Projects[Work Email (no gmail/hotmail/etc.)],"")</calculatedColumnFormula>
    </tableColumn>
    <tableColumn id="35" xr3:uid="{F30A9088-AF03-C34B-9363-111D292F0B1E}" name="Affiliation" dataDxfId="126">
      <calculatedColumnFormula>_xlfn.XLOOKUP(TableFA2132[[#This Row],[Project]],Projects[Project],Projects[Affiliation (Company/University/Place of Work)],"")</calculatedColumnFormula>
    </tableColumn>
    <tableColumn id="34" xr3:uid="{BA384F71-A108-1F47-AB88-667272C5E643}" name="Product Owner Job Title" dataDxfId="125">
      <calculatedColumnFormula>_xlfn.XLOOKUP(TableFA2132[[#This Row],[Project]],Projects[Project],Projects[Job Title],"")</calculatedColumnFormula>
    </tableColumn>
    <tableColumn id="14" xr3:uid="{9B9EC48B-7F41-9144-B957-DB2004EF2407}" name="Prog Mem" dataDxfId="124">
      <calculatedColumnFormula>COUNTIFS(TableFA2132[Project],TableFA2132[[#This Row],[Project]],TableFA2132[Program],TableFA2132[[#This Row],[Program]])</calculatedColumnFormula>
    </tableColumn>
    <tableColumn id="5" xr3:uid="{864B3352-1343-5745-8B33-7DA552DC2FC8}" name="Total" dataDxfId="123">
      <calculatedColumnFormula>COUNTIFS(TableFA2132[Project],TableFA2132[[#This Row],[Project]])</calculatedColumnFormula>
    </tableColumn>
    <tableColumn id="9" xr3:uid="{A8156A0F-6267-9E49-BD39-61BEEDF68660}" name="Role" dataDxfId="122"/>
    <tableColumn id="7" xr3:uid="{FB2CE9F1-5FBE-464C-A8E9-E437B920B03E}" name="Approved" dataDxfId="121"/>
    <tableColumn id="10" xr3:uid="{4A24DE40-6927-3440-877F-9B6FA0E9AF76}" name="Project Status" dataDxfId="120"/>
    <tableColumn id="20" xr3:uid="{FE69A72E-FB45-DC4B-A71F-3DB9EC86B228}" name="Week 1" dataDxfId="119"/>
    <tableColumn id="19" xr3:uid="{B0536C28-4911-7043-8F42-EEA70B560F1F}" name="Week 2" dataDxfId="118"/>
    <tableColumn id="18" xr3:uid="{1EC8D424-0F25-DB40-84E8-995D9D02C7CD}" name="Week 3" dataDxfId="117"/>
    <tableColumn id="17" xr3:uid="{14703AE6-73F4-254C-8FE8-3EAC16B300B6}" name="Week 4" dataDxfId="116"/>
    <tableColumn id="16" xr3:uid="{90B461EE-6F5E-E94F-BA96-0AC96C99C1CF}" name="Week 5" dataDxfId="115"/>
    <tableColumn id="15" xr3:uid="{21BDB519-D070-E446-B18E-DF322A233758}" name="Week 6" dataDxfId="114"/>
    <tableColumn id="11" xr3:uid="{E97F6588-A7D7-684D-8BAB-D4AF0E89DC47}" name="Week 7" dataDxfId="113"/>
    <tableColumn id="12" xr3:uid="{AC264C01-69DB-6946-9041-12C6B3F3D047}" name="Week 8" dataDxfId="112"/>
    <tableColumn id="21" xr3:uid="{522A0C6D-3D54-8F47-84B7-859135FB83B8}" name="Week 9" dataDxfId="111"/>
    <tableColumn id="24" xr3:uid="{92D22C02-6BB8-4117-924E-3E84307A83A4}" name="Week 10" dataDxfId="110"/>
    <tableColumn id="23" xr3:uid="{E497563F-546C-D742-9F08-A0283AE26DA9}" name="Week 11" dataDxfId="109"/>
    <tableColumn id="13" xr3:uid="{DD0F31E6-0E0C-C441-B870-3353BE451175}" name="Week 12" dataDxfId="108"/>
    <tableColumn id="8" xr3:uid="{251912F6-D423-6640-B090-9CA87FBF87E5}" name="Week 13" dataDxfId="107"/>
    <tableColumn id="22" xr3:uid="{129BD146-772F-4F5D-B893-4EAD124B28F9}" name="Week 14" dataDxfId="10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878B07B-0CB6-DA40-B83C-73DE0275F1FD}" name="Projects" displayName="Projects" ref="A1:L76" dataDxfId="105">
  <autoFilter ref="A1:L76" xr:uid="{E878B07B-0CB6-DA40-B83C-73DE0275F1FD}"/>
  <sortState xmlns:xlrd2="http://schemas.microsoft.com/office/spreadsheetml/2017/richdata2" ref="A2:L76">
    <sortCondition ref="A34:A76"/>
  </sortState>
  <tableColumns count="12">
    <tableColumn id="1" xr3:uid="{EB5FF3E5-72FF-EC4A-9A65-F0B72D9498F0}" name="Project" dataDxfId="104">
      <calculatedColumnFormula>_xlfn.CONCAT(Projects[[#This Row],[Project Focus]], ": ", Projects[[#This Row],[Project Title]])</calculatedColumnFormula>
    </tableColumn>
    <tableColumn id="13" xr3:uid="{1C88AE6A-E51E-6345-A95B-D4F3665D3F3C}" name="Selected" dataDxfId="103">
      <calculatedColumnFormula>IF(Projects[[#This Row],[Column1]]=Projects[[#This Row],[Project]],"Yes","No")</calculatedColumnFormula>
    </tableColumn>
    <tableColumn id="11" xr3:uid="{159A6C21-F069-694E-A851-F522A0ADE8DD}" name="Column1"/>
    <tableColumn id="2" xr3:uid="{3FA77D63-866C-B443-83A9-6E14642B21A4}" name="Full Name" totalsRowDxfId="102"/>
    <tableColumn id="3" xr3:uid="{AD79321E-2D66-654E-B4B1-BE8B7189961D}" name="Work Email (no gmail/hotmail/etc.)" totalsRowDxfId="101"/>
    <tableColumn id="4" xr3:uid="{73250C9C-12A3-D545-8BF8-C212C3E25448}" name="Affiliation (Company/University/Place of Work)" totalsRowDxfId="100"/>
    <tableColumn id="5" xr3:uid="{1E03410D-3C1D-EA4E-A214-F5726A8E1BEC}" name="Job Title" totalsRowDxfId="99"/>
    <tableColumn id="6" xr3:uid="{2303CAA0-E74A-8F45-9520-9C97B3846325}" name="Highest Degree" totalsRowDxfId="98"/>
    <tableColumn id="7" xr3:uid="{47CEF9EE-9D3F-E848-8BF5-75172AB2D9E5}" name="Project Title" totalsRowDxfId="97"/>
    <tableColumn id="8" xr3:uid="{61862C3B-AB5D-234F-B183-CAD621C01AE6}" name="Project Description" totalsRowLabel="I need the description, please." totalsRowDxfId="96"/>
    <tableColumn id="9" xr3:uid="{8DC93A3B-2348-D149-B7B3-9BB3A4E6946C}" name="Project Focus" totalsRowDxfId="95"/>
    <tableColumn id="10" xr3:uid="{CDB460C0-E3A9-9246-98E0-8B8AC9735602}" name="Commitment, should your project is accepted and picked by our students" totalsRowDxfId="9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073E39-03FF-4182-8F95-AEFD9F5AD378}" name="TableFA21323" displayName="TableFA21323" ref="B1:K302" totalsRowShown="0" headerRowDxfId="93" dataDxfId="92">
  <sortState xmlns:xlrd2="http://schemas.microsoft.com/office/spreadsheetml/2017/richdata2" ref="B2:K302">
    <sortCondition ref="E302"/>
  </sortState>
  <tableColumns count="10">
    <tableColumn id="1" xr3:uid="{168DE5C4-517D-465E-A591-AB9C4598689E}" name="Email" dataDxfId="91"/>
    <tableColumn id="2" xr3:uid="{7EE706FA-39FC-4D9B-9304-F795F20E69FB}" name="Name" dataDxfId="90"/>
    <tableColumn id="29" xr3:uid="{0C2B9F8F-9D15-4162-8641-D203F76CA211}" name="Program" dataDxfId="89"/>
    <tableColumn id="4" xr3:uid="{1079496D-4426-4F65-BD47-FB78F95EC618}" name="Project" dataDxfId="88"/>
    <tableColumn id="37" xr3:uid="{532DE3A0-9578-4F11-A01A-573FA7BE7E61}" name="Product Owner" dataDxfId="87">
      <calculatedColumnFormula>_xlfn.XLOOKUP(TableFA21323[[#This Row],[Project]],Projects[Project],Projects[Full Name],"")</calculatedColumnFormula>
    </tableColumn>
    <tableColumn id="6" xr3:uid="{1DADE096-E61E-48BA-B4F3-551702FC2E68}" name="Email2" dataDxfId="86">
      <calculatedColumnFormula>_xlfn.XLOOKUP(TableFA21323[[#This Row],[Project]],Projects[Project],Projects[Work Email (no gmail/hotmail/etc.)],"")</calculatedColumnFormula>
    </tableColumn>
    <tableColumn id="35" xr3:uid="{D86292EB-5AC1-4806-AF3B-C1EA6987E06A}" name="Affiliation" dataDxfId="85">
      <calculatedColumnFormula>_xlfn.XLOOKUP(TableFA21323[[#This Row],[Project]],Projects[Project],Projects[Affiliation (Company/University/Place of Work)],"")</calculatedColumnFormula>
    </tableColumn>
    <tableColumn id="14" xr3:uid="{88223F81-7E23-4C21-B18C-A96BB7C0A151}" name="Prog Mem" dataDxfId="84">
      <calculatedColumnFormula>COUNTIFS(TableFA21323[Project],TableFA21323[[#This Row],[Project]],TableFA21323[Program],TableFA21323[[#This Row],[Program]])</calculatedColumnFormula>
    </tableColumn>
    <tableColumn id="5" xr3:uid="{32C54439-F9E0-42BD-947F-32EE4F7726E6}" name="Total" dataDxfId="83">
      <calculatedColumnFormula>COUNTIFS(TableFA21323[Project],TableFA21323[[#This Row],[Project]])</calculatedColumnFormula>
    </tableColumn>
    <tableColumn id="3" xr3:uid="{B5353CA3-F560-4C7C-959C-DAE738896838}" name="Column1" dataDxfId="8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ahued002@fiu.edu" TargetMode="External"/><Relationship Id="rId13" Type="http://schemas.openxmlformats.org/officeDocument/2006/relationships/hyperlink" Target="mailto:eblan065@fiu.edu" TargetMode="External"/><Relationship Id="rId18" Type="http://schemas.openxmlformats.org/officeDocument/2006/relationships/table" Target="../tables/table1.xml"/><Relationship Id="rId3" Type="http://schemas.openxmlformats.org/officeDocument/2006/relationships/hyperlink" Target="mailto:jegbo003@fiu.edu" TargetMode="External"/><Relationship Id="rId7" Type="http://schemas.openxmlformats.org/officeDocument/2006/relationships/hyperlink" Target="mailto:zsadi002@fiu.edu" TargetMode="External"/><Relationship Id="rId12" Type="http://schemas.openxmlformats.org/officeDocument/2006/relationships/hyperlink" Target="mailto:chern547@fiu.edu" TargetMode="External"/><Relationship Id="rId17" Type="http://schemas.openxmlformats.org/officeDocument/2006/relationships/hyperlink" Target="mailto:gcurr011@fiu.edu" TargetMode="External"/><Relationship Id="rId2" Type="http://schemas.openxmlformats.org/officeDocument/2006/relationships/hyperlink" Target="mailto:acoza005@fiu.edu" TargetMode="External"/><Relationship Id="rId16" Type="http://schemas.openxmlformats.org/officeDocument/2006/relationships/hyperlink" Target="mailto:kaura001@fiu.edu" TargetMode="External"/><Relationship Id="rId1" Type="http://schemas.openxmlformats.org/officeDocument/2006/relationships/hyperlink" Target="mailto:jarro055@fiu.edu" TargetMode="External"/><Relationship Id="rId6" Type="http://schemas.openxmlformats.org/officeDocument/2006/relationships/hyperlink" Target="mailto:amace012@fiu.edu" TargetMode="External"/><Relationship Id="rId11" Type="http://schemas.openxmlformats.org/officeDocument/2006/relationships/hyperlink" Target="mailto:mdagh002@fiu.edu" TargetMode="External"/><Relationship Id="rId5" Type="http://schemas.openxmlformats.org/officeDocument/2006/relationships/hyperlink" Target="mailto:ablan166@fiu.du" TargetMode="External"/><Relationship Id="rId15" Type="http://schemas.openxmlformats.org/officeDocument/2006/relationships/hyperlink" Target="mailto:ablan166@fiu.edu" TargetMode="External"/><Relationship Id="rId10" Type="http://schemas.openxmlformats.org/officeDocument/2006/relationships/hyperlink" Target="mailto:dvasq042@fiu.edu" TargetMode="External"/><Relationship Id="rId4" Type="http://schemas.openxmlformats.org/officeDocument/2006/relationships/hyperlink" Target="mailto:vnguy054@fiu.edu" TargetMode="External"/><Relationship Id="rId9" Type="http://schemas.openxmlformats.org/officeDocument/2006/relationships/hyperlink" Target="mailto:cgarc669@fiu.edu" TargetMode="External"/><Relationship Id="rId14" Type="http://schemas.openxmlformats.org/officeDocument/2006/relationships/hyperlink" Target="mailto:sgamb025@fiu.edu"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mailto:jpowe007@fiu.edu" TargetMode="External"/><Relationship Id="rId18" Type="http://schemas.openxmlformats.org/officeDocument/2006/relationships/hyperlink" Target="mailto:jbenn058@fiu.edu" TargetMode="External"/><Relationship Id="rId26" Type="http://schemas.openxmlformats.org/officeDocument/2006/relationships/hyperlink" Target="mailto:bgarc209@fiu.edu" TargetMode="External"/><Relationship Id="rId39" Type="http://schemas.openxmlformats.org/officeDocument/2006/relationships/hyperlink" Target="mailto:ggala016@fiu.edu" TargetMode="External"/><Relationship Id="rId21" Type="http://schemas.openxmlformats.org/officeDocument/2006/relationships/hyperlink" Target="mailto:mesco114@fiu.edu" TargetMode="External"/><Relationship Id="rId34" Type="http://schemas.openxmlformats.org/officeDocument/2006/relationships/hyperlink" Target="mailto:bfern152@fiu.edu" TargetMode="External"/><Relationship Id="rId42" Type="http://schemas.openxmlformats.org/officeDocument/2006/relationships/hyperlink" Target="mailto:Pvill044@fiu.edu" TargetMode="External"/><Relationship Id="rId47" Type="http://schemas.openxmlformats.org/officeDocument/2006/relationships/table" Target="../tables/table2.xml"/><Relationship Id="rId7" Type="http://schemas.openxmlformats.org/officeDocument/2006/relationships/hyperlink" Target="mailto:mchaa003@fiu.edu" TargetMode="External"/><Relationship Id="rId2" Type="http://schemas.openxmlformats.org/officeDocument/2006/relationships/hyperlink" Target="mailto:gcurr011@fiu.edu" TargetMode="External"/><Relationship Id="rId16" Type="http://schemas.openxmlformats.org/officeDocument/2006/relationships/hyperlink" Target="mailto:dgonz692@fiu.edu" TargetMode="External"/><Relationship Id="rId29" Type="http://schemas.openxmlformats.org/officeDocument/2006/relationships/hyperlink" Target="mailto:plad002@fiu.edu" TargetMode="External"/><Relationship Id="rId1" Type="http://schemas.openxmlformats.org/officeDocument/2006/relationships/hyperlink" Target="mailto:aorte138@fiu.edu" TargetMode="External"/><Relationship Id="rId6" Type="http://schemas.openxmlformats.org/officeDocument/2006/relationships/hyperlink" Target="mailto:oodun003@fiu.edu" TargetMode="External"/><Relationship Id="rId11" Type="http://schemas.openxmlformats.org/officeDocument/2006/relationships/hyperlink" Target="mailto:jsand146@fiu.edu" TargetMode="External"/><Relationship Id="rId24" Type="http://schemas.openxmlformats.org/officeDocument/2006/relationships/hyperlink" Target="mailto:cpere583@fiu.edu" TargetMode="External"/><Relationship Id="rId32" Type="http://schemas.openxmlformats.org/officeDocument/2006/relationships/hyperlink" Target="mailto:rcont033@fiu.edu" TargetMode="External"/><Relationship Id="rId37" Type="http://schemas.openxmlformats.org/officeDocument/2006/relationships/hyperlink" Target="mailto:ravi@giggso.com" TargetMode="External"/><Relationship Id="rId40" Type="http://schemas.openxmlformats.org/officeDocument/2006/relationships/hyperlink" Target="mailto:jpere1079@fiu.edu" TargetMode="External"/><Relationship Id="rId45" Type="http://schemas.openxmlformats.org/officeDocument/2006/relationships/hyperlink" Target="mailto:cpere684@fiu.edu" TargetMode="External"/><Relationship Id="rId5" Type="http://schemas.openxmlformats.org/officeDocument/2006/relationships/hyperlink" Target="mailto:bgerb004@fiu.edu" TargetMode="External"/><Relationship Id="rId15" Type="http://schemas.openxmlformats.org/officeDocument/2006/relationships/hyperlink" Target="mailto:pmont079@fiu.edu" TargetMode="External"/><Relationship Id="rId23" Type="http://schemas.openxmlformats.org/officeDocument/2006/relationships/hyperlink" Target="mailto:ofata002@fiu.edu" TargetMode="External"/><Relationship Id="rId28" Type="http://schemas.openxmlformats.org/officeDocument/2006/relationships/hyperlink" Target="mailto:Rsano008@fiu.edu" TargetMode="External"/><Relationship Id="rId36" Type="http://schemas.openxmlformats.org/officeDocument/2006/relationships/hyperlink" Target="mailto:dfigu048@fiu.edu" TargetMode="External"/><Relationship Id="rId10" Type="http://schemas.openxmlformats.org/officeDocument/2006/relationships/hyperlink" Target="mailto:Mball074@fiu.edu" TargetMode="External"/><Relationship Id="rId19" Type="http://schemas.openxmlformats.org/officeDocument/2006/relationships/hyperlink" Target="mailto:afran280@fiu.edu" TargetMode="External"/><Relationship Id="rId31" Type="http://schemas.openxmlformats.org/officeDocument/2006/relationships/hyperlink" Target="mailto:ldelg093@fiu.edu" TargetMode="External"/><Relationship Id="rId44" Type="http://schemas.openxmlformats.org/officeDocument/2006/relationships/hyperlink" Target="mailto:yawu@fiu.edu" TargetMode="External"/><Relationship Id="rId4" Type="http://schemas.openxmlformats.org/officeDocument/2006/relationships/hyperlink" Target="mailto:flore016@fiu.edu" TargetMode="External"/><Relationship Id="rId9" Type="http://schemas.openxmlformats.org/officeDocument/2006/relationships/hyperlink" Target="mailto:mpere954@fiu.edu" TargetMode="External"/><Relationship Id="rId14" Type="http://schemas.openxmlformats.org/officeDocument/2006/relationships/hyperlink" Target="mailto:gabbo008@fiu.edu" TargetMode="External"/><Relationship Id="rId22" Type="http://schemas.openxmlformats.org/officeDocument/2006/relationships/hyperlink" Target="mailto:cgarc669@fiu.edu" TargetMode="External"/><Relationship Id="rId27" Type="http://schemas.openxmlformats.org/officeDocument/2006/relationships/hyperlink" Target="mailto:farbu001@fiu.edu" TargetMode="External"/><Relationship Id="rId30" Type="http://schemas.openxmlformats.org/officeDocument/2006/relationships/hyperlink" Target="mailto:mnaqv002@fiu.edu" TargetMode="External"/><Relationship Id="rId35" Type="http://schemas.openxmlformats.org/officeDocument/2006/relationships/hyperlink" Target="mailto:Dfuen050@fiu.edu" TargetMode="External"/><Relationship Id="rId43" Type="http://schemas.openxmlformats.org/officeDocument/2006/relationships/hyperlink" Target="mailto:sdumi001@fiu.edu" TargetMode="External"/><Relationship Id="rId8" Type="http://schemas.openxmlformats.org/officeDocument/2006/relationships/hyperlink" Target="mailto:alejarri@fiu.edu" TargetMode="External"/><Relationship Id="rId3" Type="http://schemas.openxmlformats.org/officeDocument/2006/relationships/hyperlink" Target="mailto:jquin229@fiu.edu" TargetMode="External"/><Relationship Id="rId12" Type="http://schemas.openxmlformats.org/officeDocument/2006/relationships/hyperlink" Target="mailto:eoliv080@fiu.edu" TargetMode="External"/><Relationship Id="rId17" Type="http://schemas.openxmlformats.org/officeDocument/2006/relationships/hyperlink" Target="mailto:liane@hrrhvisionconsulting.com" TargetMode="External"/><Relationship Id="rId25" Type="http://schemas.openxmlformats.org/officeDocument/2006/relationships/hyperlink" Target="mailto:jmcnu007@fiu.edu" TargetMode="External"/><Relationship Id="rId33" Type="http://schemas.openxmlformats.org/officeDocument/2006/relationships/hyperlink" Target="mailto:ndelg052@fiu.edu" TargetMode="External"/><Relationship Id="rId38" Type="http://schemas.openxmlformats.org/officeDocument/2006/relationships/hyperlink" Target="mailto:Chern547@fiu.edu" TargetMode="External"/><Relationship Id="rId46" Type="http://schemas.openxmlformats.org/officeDocument/2006/relationships/hyperlink" Target="mailto:dgonz692@fiu.edu" TargetMode="External"/><Relationship Id="rId20" Type="http://schemas.openxmlformats.org/officeDocument/2006/relationships/hyperlink" Target="mailto:jmies004@fiu.edu" TargetMode="External"/><Relationship Id="rId41" Type="http://schemas.openxmlformats.org/officeDocument/2006/relationships/hyperlink" Target="mailto:ravi@giggso.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ahued002@fiu.edu" TargetMode="External"/><Relationship Id="rId13" Type="http://schemas.openxmlformats.org/officeDocument/2006/relationships/hyperlink" Target="mailto:eblan065@fiu.edu" TargetMode="External"/><Relationship Id="rId18" Type="http://schemas.openxmlformats.org/officeDocument/2006/relationships/hyperlink" Target="mailto:mcobo014@fiu.edu" TargetMode="External"/><Relationship Id="rId3" Type="http://schemas.openxmlformats.org/officeDocument/2006/relationships/hyperlink" Target="mailto:jegbo003@fiu.edu" TargetMode="External"/><Relationship Id="rId21" Type="http://schemas.openxmlformats.org/officeDocument/2006/relationships/hyperlink" Target="mailto:pmart186@fiu.edu" TargetMode="External"/><Relationship Id="rId7" Type="http://schemas.openxmlformats.org/officeDocument/2006/relationships/hyperlink" Target="mailto:zsadi002@fiu.edu" TargetMode="External"/><Relationship Id="rId12" Type="http://schemas.openxmlformats.org/officeDocument/2006/relationships/hyperlink" Target="mailto:chern547@fiu.edu" TargetMode="External"/><Relationship Id="rId17" Type="http://schemas.openxmlformats.org/officeDocument/2006/relationships/hyperlink" Target="mailto:gcurr011@fiu.edu" TargetMode="External"/><Relationship Id="rId2" Type="http://schemas.openxmlformats.org/officeDocument/2006/relationships/hyperlink" Target="mailto:acoza005@fiu.edu" TargetMode="External"/><Relationship Id="rId16" Type="http://schemas.openxmlformats.org/officeDocument/2006/relationships/hyperlink" Target="mailto:kaura001@fiu.edu" TargetMode="External"/><Relationship Id="rId20" Type="http://schemas.openxmlformats.org/officeDocument/2006/relationships/hyperlink" Target="mailto:vnovo007@fiu.edu" TargetMode="External"/><Relationship Id="rId1" Type="http://schemas.openxmlformats.org/officeDocument/2006/relationships/hyperlink" Target="mailto:jarro055@fiu.edu" TargetMode="External"/><Relationship Id="rId6" Type="http://schemas.openxmlformats.org/officeDocument/2006/relationships/hyperlink" Target="mailto:amace012@fiu.edu" TargetMode="External"/><Relationship Id="rId11" Type="http://schemas.openxmlformats.org/officeDocument/2006/relationships/hyperlink" Target="mailto:mdagh002@fiu.edu" TargetMode="External"/><Relationship Id="rId5" Type="http://schemas.openxmlformats.org/officeDocument/2006/relationships/hyperlink" Target="mailto:ablan166@fiu.du" TargetMode="External"/><Relationship Id="rId15" Type="http://schemas.openxmlformats.org/officeDocument/2006/relationships/hyperlink" Target="mailto:ablan166@fiu.edu" TargetMode="External"/><Relationship Id="rId10" Type="http://schemas.openxmlformats.org/officeDocument/2006/relationships/hyperlink" Target="mailto:dvasq042@fiu.edu" TargetMode="External"/><Relationship Id="rId19" Type="http://schemas.openxmlformats.org/officeDocument/2006/relationships/hyperlink" Target="mailto:jmene096@fiu.edu" TargetMode="External"/><Relationship Id="rId4" Type="http://schemas.openxmlformats.org/officeDocument/2006/relationships/hyperlink" Target="mailto:vnguy054@fiu.edu" TargetMode="External"/><Relationship Id="rId9" Type="http://schemas.openxmlformats.org/officeDocument/2006/relationships/hyperlink" Target="mailto:cgarc669@fiu.edu" TargetMode="External"/><Relationship Id="rId14" Type="http://schemas.openxmlformats.org/officeDocument/2006/relationships/hyperlink" Target="mailto:sgamb025@fiu.edu" TargetMode="External"/><Relationship Id="rId22"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63C54-1ACC-1A45-9D96-E0FEDBB3F028}">
  <sheetPr codeName="Sheet1">
    <pageSetUpPr fitToPage="1"/>
  </sheetPr>
  <dimension ref="A1:AG312"/>
  <sheetViews>
    <sheetView tabSelected="1" zoomScale="180" zoomScaleNormal="180" workbookViewId="0">
      <selection activeCell="E39" sqref="A2:AC250"/>
    </sheetView>
  </sheetViews>
  <sheetFormatPr baseColWidth="10" defaultColWidth="11.5" defaultRowHeight="15" x14ac:dyDescent="0.2"/>
  <cols>
    <col min="1" max="1" width="22.5" customWidth="1"/>
    <col min="2" max="2" width="21.5" customWidth="1"/>
    <col min="3" max="3" width="17.5" customWidth="1"/>
    <col min="4" max="4" width="12.83203125" customWidth="1"/>
    <col min="5" max="5" width="14.6640625" customWidth="1"/>
    <col min="6" max="6" width="66.6640625" customWidth="1"/>
    <col min="7" max="7" width="30.6640625" hidden="1" customWidth="1"/>
    <col min="8" max="8" width="0.1640625" style="1" hidden="1" customWidth="1"/>
    <col min="9" max="9" width="32.33203125" customWidth="1"/>
    <col min="10" max="10" width="68.1640625" bestFit="1" customWidth="1"/>
    <col min="11" max="11" width="9.1640625" bestFit="1" customWidth="1"/>
    <col min="12" max="12" width="5" bestFit="1" customWidth="1"/>
    <col min="13" max="13" width="10.33203125" customWidth="1"/>
    <col min="14" max="14" width="11.6640625" bestFit="1" customWidth="1"/>
    <col min="15" max="15" width="16" bestFit="1" customWidth="1"/>
    <col min="16" max="16" width="15" customWidth="1"/>
    <col min="17" max="17" width="12.5" bestFit="1" customWidth="1"/>
    <col min="18" max="18" width="14" customWidth="1"/>
    <col min="19" max="19" width="13.1640625" customWidth="1"/>
    <col min="20" max="21" width="12.6640625" customWidth="1"/>
    <col min="22" max="22" width="13.5" customWidth="1"/>
    <col min="23" max="23" width="12.5" bestFit="1" customWidth="1"/>
    <col min="24" max="24" width="16.5" customWidth="1"/>
    <col min="25" max="25" width="15.1640625" customWidth="1"/>
    <col min="26" max="26" width="16.1640625" style="5" customWidth="1"/>
    <col min="27" max="28" width="15.5" customWidth="1"/>
    <col min="29" max="29" width="13.6640625" customWidth="1"/>
    <col min="30" max="33" width="10.33203125" bestFit="1" customWidth="1"/>
  </cols>
  <sheetData>
    <row r="1" spans="1:30" x14ac:dyDescent="0.2">
      <c r="A1" s="25" t="s">
        <v>0</v>
      </c>
      <c r="B1" t="s">
        <v>1</v>
      </c>
      <c r="C1" t="s">
        <v>2</v>
      </c>
      <c r="D1" t="s">
        <v>3</v>
      </c>
      <c r="E1" t="s">
        <v>4</v>
      </c>
      <c r="F1" s="1" t="s">
        <v>5</v>
      </c>
      <c r="G1" t="s">
        <v>6</v>
      </c>
      <c r="H1" t="s">
        <v>7</v>
      </c>
      <c r="I1" t="s">
        <v>8</v>
      </c>
      <c r="J1" t="s">
        <v>9</v>
      </c>
      <c r="K1" s="1" t="s">
        <v>10</v>
      </c>
      <c r="L1" s="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30" x14ac:dyDescent="0.2">
      <c r="A2" s="3" t="s">
        <v>29</v>
      </c>
      <c r="B2" s="3" t="s">
        <v>30</v>
      </c>
      <c r="C2" s="3" t="s">
        <v>31</v>
      </c>
      <c r="D2" s="3" t="s">
        <v>32</v>
      </c>
      <c r="E2" t="s">
        <v>33</v>
      </c>
      <c r="F2" s="10" t="s">
        <v>34</v>
      </c>
      <c r="G2" s="1" t="str">
        <f>_xlfn.XLOOKUP(TableFA2132[[#This Row],[Project]],Projects[Project],Projects[Full Name],"")</f>
        <v>Pooja Lad</v>
      </c>
      <c r="H2" s="1" t="str">
        <f>_xlfn.XLOOKUP(TableFA2132[[#This Row],[Project]],Projects[Project],Projects[Work Email (no gmail/hotmail/etc.)],"")</f>
        <v>plad002@fiu.edu</v>
      </c>
      <c r="I2" s="1" t="str">
        <f>_xlfn.XLOOKUP(TableFA2132[[#This Row],[Project]],Projects[Project],Projects[Affiliation (Company/University/Place of Work)],"")</f>
        <v>Florida International University</v>
      </c>
      <c r="J2" s="1" t="str">
        <f>_xlfn.XLOOKUP(TableFA2132[[#This Row],[Project]],Projects[Project],Projects[Job Title],"")</f>
        <v>Capstone 2 Student</v>
      </c>
      <c r="K2" s="10">
        <f>COUNTIFS(TableFA2132[Project],TableFA2132[[#This Row],[Project]],TableFA2132[Program],TableFA2132[[#This Row],[Program]])</f>
        <v>5</v>
      </c>
      <c r="L2" s="10">
        <f>COUNTIFS(TableFA2132[Project],TableFA2132[[#This Row],[Project]])</f>
        <v>5</v>
      </c>
      <c r="M2" s="3" t="s">
        <v>35</v>
      </c>
      <c r="N2" s="3"/>
      <c r="O2" s="3"/>
      <c r="P2" s="3" t="s">
        <v>36</v>
      </c>
      <c r="Q2" s="3" t="s">
        <v>36</v>
      </c>
      <c r="R2" s="3" t="s">
        <v>36</v>
      </c>
      <c r="S2" s="3" t="s">
        <v>36</v>
      </c>
      <c r="T2" s="3" t="s">
        <v>36</v>
      </c>
      <c r="U2" s="3" t="s">
        <v>36</v>
      </c>
      <c r="V2" s="3" t="s">
        <v>36</v>
      </c>
      <c r="W2" s="3" t="s">
        <v>36</v>
      </c>
      <c r="X2" s="3" t="s">
        <v>36</v>
      </c>
      <c r="Y2" s="3" t="s">
        <v>36</v>
      </c>
      <c r="Z2" s="3" t="s">
        <v>36</v>
      </c>
      <c r="AA2" s="3" t="s">
        <v>36</v>
      </c>
      <c r="AB2" s="3" t="s">
        <v>36</v>
      </c>
      <c r="AC2" s="3" t="s">
        <v>36</v>
      </c>
    </row>
    <row r="3" spans="1:30" x14ac:dyDescent="0.2">
      <c r="A3" t="s">
        <v>37</v>
      </c>
      <c r="B3" t="s">
        <v>38</v>
      </c>
      <c r="C3" t="s">
        <v>31</v>
      </c>
      <c r="D3" t="s">
        <v>32</v>
      </c>
      <c r="E3" t="s">
        <v>33</v>
      </c>
      <c r="F3" s="1" t="s">
        <v>34</v>
      </c>
      <c r="G3" s="1" t="str">
        <f>_xlfn.XLOOKUP(TableFA2132[[#This Row],[Project]],Projects[Project],Projects[Full Name],"")</f>
        <v>Pooja Lad</v>
      </c>
      <c r="H3" s="1" t="str">
        <f>_xlfn.XLOOKUP(TableFA2132[[#This Row],[Project]],Projects[Project],Projects[Work Email (no gmail/hotmail/etc.)],"")</f>
        <v>plad002@fiu.edu</v>
      </c>
      <c r="I3" s="1" t="str">
        <f>_xlfn.XLOOKUP(TableFA2132[[#This Row],[Project]],Projects[Project],Projects[Affiliation (Company/University/Place of Work)],"")</f>
        <v>Florida International University</v>
      </c>
      <c r="J3" s="1" t="str">
        <f>_xlfn.XLOOKUP(TableFA2132[[#This Row],[Project]],Projects[Project],Projects[Job Title],"")</f>
        <v>Capstone 2 Student</v>
      </c>
      <c r="K3" s="10">
        <f>COUNTIFS(TableFA2132[Project],TableFA2132[[#This Row],[Project]],TableFA2132[Program],TableFA2132[[#This Row],[Program]])</f>
        <v>5</v>
      </c>
      <c r="L3" s="10">
        <f>COUNTIFS(TableFA2132[Project],TableFA2132[[#This Row],[Project]])</f>
        <v>5</v>
      </c>
      <c r="P3" t="s">
        <v>36</v>
      </c>
      <c r="Q3" t="s">
        <v>36</v>
      </c>
      <c r="R3" t="s">
        <v>36</v>
      </c>
      <c r="S3" t="s">
        <v>36</v>
      </c>
      <c r="T3" t="s">
        <v>36</v>
      </c>
      <c r="U3" t="s">
        <v>36</v>
      </c>
      <c r="V3" t="s">
        <v>36</v>
      </c>
      <c r="W3" t="s">
        <v>36</v>
      </c>
      <c r="X3" t="s">
        <v>36</v>
      </c>
      <c r="Y3" t="s">
        <v>36</v>
      </c>
      <c r="Z3" t="s">
        <v>36</v>
      </c>
      <c r="AA3" t="s">
        <v>36</v>
      </c>
      <c r="AB3" t="s">
        <v>36</v>
      </c>
      <c r="AC3" t="s">
        <v>36</v>
      </c>
    </row>
    <row r="4" spans="1:30" x14ac:dyDescent="0.2">
      <c r="A4" t="s">
        <v>39</v>
      </c>
      <c r="B4" t="s">
        <v>40</v>
      </c>
      <c r="C4" t="s">
        <v>31</v>
      </c>
      <c r="D4" t="s">
        <v>32</v>
      </c>
      <c r="E4" t="s">
        <v>33</v>
      </c>
      <c r="F4" s="1" t="s">
        <v>34</v>
      </c>
      <c r="G4" s="1" t="str">
        <f>_xlfn.XLOOKUP(TableFA2132[[#This Row],[Project]],Projects[Project],Projects[Full Name],"")</f>
        <v>Pooja Lad</v>
      </c>
      <c r="H4" s="1" t="str">
        <f>_xlfn.XLOOKUP(TableFA2132[[#This Row],[Project]],Projects[Project],Projects[Work Email (no gmail/hotmail/etc.)],"")</f>
        <v>plad002@fiu.edu</v>
      </c>
      <c r="I4" s="1" t="str">
        <f>_xlfn.XLOOKUP(TableFA2132[[#This Row],[Project]],Projects[Project],Projects[Affiliation (Company/University/Place of Work)],"")</f>
        <v>Florida International University</v>
      </c>
      <c r="J4" s="1" t="str">
        <f>_xlfn.XLOOKUP(TableFA2132[[#This Row],[Project]],Projects[Project],Projects[Job Title],"")</f>
        <v>Capstone 2 Student</v>
      </c>
      <c r="K4" s="10">
        <f>COUNTIFS(TableFA2132[Project],TableFA2132[[#This Row],[Project]],TableFA2132[Program],TableFA2132[[#This Row],[Program]])</f>
        <v>5</v>
      </c>
      <c r="L4" s="10">
        <f>COUNTIFS(TableFA2132[Project],TableFA2132[[#This Row],[Project]])</f>
        <v>5</v>
      </c>
      <c r="P4" t="s">
        <v>36</v>
      </c>
      <c r="Q4" t="s">
        <v>36</v>
      </c>
      <c r="R4" t="s">
        <v>36</v>
      </c>
      <c r="S4" t="s">
        <v>36</v>
      </c>
      <c r="T4" t="s">
        <v>36</v>
      </c>
      <c r="U4" t="s">
        <v>36</v>
      </c>
      <c r="V4" t="s">
        <v>36</v>
      </c>
      <c r="W4" t="s">
        <v>36</v>
      </c>
      <c r="X4" t="s">
        <v>36</v>
      </c>
      <c r="Y4" t="s">
        <v>36</v>
      </c>
      <c r="Z4" t="s">
        <v>36</v>
      </c>
      <c r="AA4" t="s">
        <v>36</v>
      </c>
      <c r="AB4" t="s">
        <v>36</v>
      </c>
      <c r="AC4" t="s">
        <v>36</v>
      </c>
    </row>
    <row r="5" spans="1:30" x14ac:dyDescent="0.2">
      <c r="A5" t="s">
        <v>41</v>
      </c>
      <c r="B5" t="s">
        <v>42</v>
      </c>
      <c r="C5" t="s">
        <v>31</v>
      </c>
      <c r="D5" t="s">
        <v>32</v>
      </c>
      <c r="E5" t="s">
        <v>33</v>
      </c>
      <c r="F5" s="1" t="s">
        <v>34</v>
      </c>
      <c r="G5" s="1" t="str">
        <f>_xlfn.XLOOKUP(TableFA2132[[#This Row],[Project]],Projects[Project],Projects[Full Name],"")</f>
        <v>Pooja Lad</v>
      </c>
      <c r="H5" s="1" t="str">
        <f>_xlfn.XLOOKUP(TableFA2132[[#This Row],[Project]],Projects[Project],Projects[Work Email (no gmail/hotmail/etc.)],"")</f>
        <v>plad002@fiu.edu</v>
      </c>
      <c r="I5" s="1" t="str">
        <f>_xlfn.XLOOKUP(TableFA2132[[#This Row],[Project]],Projects[Project],Projects[Affiliation (Company/University/Place of Work)],"")</f>
        <v>Florida International University</v>
      </c>
      <c r="J5" s="1" t="str">
        <f>_xlfn.XLOOKUP(TableFA2132[[#This Row],[Project]],Projects[Project],Projects[Job Title],"")</f>
        <v>Capstone 2 Student</v>
      </c>
      <c r="K5" s="10">
        <f>COUNTIFS(TableFA2132[Project],TableFA2132[[#This Row],[Project]],TableFA2132[Program],TableFA2132[[#This Row],[Program]])</f>
        <v>5</v>
      </c>
      <c r="L5" s="10">
        <f>COUNTIFS(TableFA2132[Project],TableFA2132[[#This Row],[Project]])</f>
        <v>5</v>
      </c>
      <c r="P5" t="s">
        <v>36</v>
      </c>
      <c r="Q5" t="s">
        <v>36</v>
      </c>
      <c r="R5" t="s">
        <v>36</v>
      </c>
      <c r="S5" t="s">
        <v>36</v>
      </c>
      <c r="T5" t="s">
        <v>36</v>
      </c>
      <c r="U5" t="s">
        <v>36</v>
      </c>
      <c r="V5" t="s">
        <v>36</v>
      </c>
      <c r="W5" t="s">
        <v>36</v>
      </c>
      <c r="X5" t="s">
        <v>36</v>
      </c>
      <c r="Y5" t="s">
        <v>36</v>
      </c>
      <c r="Z5" t="s">
        <v>36</v>
      </c>
      <c r="AA5" t="s">
        <v>36</v>
      </c>
      <c r="AB5" t="s">
        <v>36</v>
      </c>
      <c r="AC5" t="s">
        <v>36</v>
      </c>
    </row>
    <row r="6" spans="1:30" x14ac:dyDescent="0.2">
      <c r="A6" t="s">
        <v>43</v>
      </c>
      <c r="B6" t="s">
        <v>44</v>
      </c>
      <c r="C6" t="s">
        <v>31</v>
      </c>
      <c r="D6" t="s">
        <v>32</v>
      </c>
      <c r="E6" t="s">
        <v>33</v>
      </c>
      <c r="F6" s="1" t="s">
        <v>34</v>
      </c>
      <c r="G6" s="1" t="str">
        <f>_xlfn.XLOOKUP(TableFA2132[[#This Row],[Project]],Projects[Project],Projects[Full Name],"")</f>
        <v>Pooja Lad</v>
      </c>
      <c r="H6" s="1" t="str">
        <f>_xlfn.XLOOKUP(TableFA2132[[#This Row],[Project]],Projects[Project],Projects[Work Email (no gmail/hotmail/etc.)],"")</f>
        <v>plad002@fiu.edu</v>
      </c>
      <c r="I6" s="1" t="str">
        <f>_xlfn.XLOOKUP(TableFA2132[[#This Row],[Project]],Projects[Project],Projects[Affiliation (Company/University/Place of Work)],"")</f>
        <v>Florida International University</v>
      </c>
      <c r="J6" s="1" t="str">
        <f>_xlfn.XLOOKUP(TableFA2132[[#This Row],[Project]],Projects[Project],Projects[Job Title],"")</f>
        <v>Capstone 2 Student</v>
      </c>
      <c r="K6" s="10">
        <f>COUNTIFS(TableFA2132[Project],TableFA2132[[#This Row],[Project]],TableFA2132[Program],TableFA2132[[#This Row],[Program]])</f>
        <v>5</v>
      </c>
      <c r="L6" s="10">
        <f>COUNTIFS(TableFA2132[Project],TableFA2132[[#This Row],[Project]])</f>
        <v>5</v>
      </c>
      <c r="P6" t="s">
        <v>36</v>
      </c>
      <c r="Q6" t="s">
        <v>36</v>
      </c>
      <c r="R6" t="s">
        <v>36</v>
      </c>
      <c r="S6" t="s">
        <v>36</v>
      </c>
      <c r="T6" t="s">
        <v>36</v>
      </c>
      <c r="U6" t="s">
        <v>36</v>
      </c>
      <c r="V6" t="s">
        <v>36</v>
      </c>
      <c r="W6" t="s">
        <v>36</v>
      </c>
      <c r="X6" t="s">
        <v>36</v>
      </c>
      <c r="Y6" t="s">
        <v>36</v>
      </c>
      <c r="Z6" t="s">
        <v>36</v>
      </c>
      <c r="AA6" t="s">
        <v>36</v>
      </c>
      <c r="AB6" t="s">
        <v>36</v>
      </c>
      <c r="AC6" t="s">
        <v>36</v>
      </c>
    </row>
    <row r="7" spans="1:30" x14ac:dyDescent="0.2">
      <c r="A7" s="3" t="s">
        <v>45</v>
      </c>
      <c r="B7" s="3" t="s">
        <v>46</v>
      </c>
      <c r="C7" s="3" t="s">
        <v>31</v>
      </c>
      <c r="D7" s="3" t="s">
        <v>32</v>
      </c>
      <c r="E7" t="s">
        <v>33</v>
      </c>
      <c r="F7" s="3" t="s">
        <v>47</v>
      </c>
      <c r="G7" s="1" t="str">
        <f>_xlfn.XLOOKUP(TableFA2132[[#This Row],[Project]],Projects[Project],Projects[Full Name],"")</f>
        <v>Alejandro Arrieta</v>
      </c>
      <c r="H7" s="1" t="str">
        <f>_xlfn.XLOOKUP(TableFA2132[[#This Row],[Project]],Projects[Project],Projects[Work Email (no gmail/hotmail/etc.)],"")</f>
        <v>alejarri@fiu.edu</v>
      </c>
      <c r="I7" s="1" t="str">
        <f>_xlfn.XLOOKUP(TableFA2132[[#This Row],[Project]],Projects[Project],Projects[Affiliation (Company/University/Place of Work)],"")</f>
        <v>FIU</v>
      </c>
      <c r="J7" s="1" t="str">
        <f>_xlfn.XLOOKUP(TableFA2132[[#This Row],[Project]],Projects[Project],Projects[Job Title],"")</f>
        <v>Associate Professor</v>
      </c>
      <c r="K7" s="10">
        <f>COUNTIFS(TableFA2132[Project],TableFA2132[[#This Row],[Project]],TableFA2132[Program],TableFA2132[[#This Row],[Program]])</f>
        <v>5</v>
      </c>
      <c r="L7" s="10">
        <f>COUNTIFS(TableFA2132[Project],TableFA2132[[#This Row],[Project]])</f>
        <v>5</v>
      </c>
      <c r="M7" s="22" t="s">
        <v>35</v>
      </c>
      <c r="N7" s="3"/>
      <c r="O7" s="3"/>
      <c r="P7" s="3" t="s">
        <v>36</v>
      </c>
      <c r="Q7" s="3" t="s">
        <v>36</v>
      </c>
      <c r="R7" s="3" t="s">
        <v>36</v>
      </c>
      <c r="S7" s="3" t="s">
        <v>36</v>
      </c>
      <c r="T7" s="3" t="s">
        <v>36</v>
      </c>
      <c r="U7" s="3" t="s">
        <v>36</v>
      </c>
      <c r="V7" s="3" t="s">
        <v>36</v>
      </c>
      <c r="W7" s="3" t="s">
        <v>36</v>
      </c>
      <c r="X7" s="21" t="s">
        <v>36</v>
      </c>
      <c r="Y7" s="3" t="s">
        <v>36</v>
      </c>
      <c r="Z7" s="3" t="s">
        <v>36</v>
      </c>
      <c r="AA7" s="3" t="s">
        <v>36</v>
      </c>
      <c r="AB7" s="3" t="s">
        <v>36</v>
      </c>
      <c r="AC7" s="3" t="s">
        <v>36</v>
      </c>
      <c r="AD7" s="3"/>
    </row>
    <row r="8" spans="1:30" x14ac:dyDescent="0.2">
      <c r="A8" t="s">
        <v>48</v>
      </c>
      <c r="B8" t="s">
        <v>49</v>
      </c>
      <c r="C8" t="s">
        <v>31</v>
      </c>
      <c r="D8" t="s">
        <v>32</v>
      </c>
      <c r="E8" t="s">
        <v>33</v>
      </c>
      <c r="F8" t="s">
        <v>47</v>
      </c>
      <c r="G8" s="1" t="str">
        <f>_xlfn.XLOOKUP(TableFA2132[[#This Row],[Project]],Projects[Project],Projects[Full Name],"")</f>
        <v>Alejandro Arrieta</v>
      </c>
      <c r="H8" s="1" t="str">
        <f>_xlfn.XLOOKUP(TableFA2132[[#This Row],[Project]],Projects[Project],Projects[Work Email (no gmail/hotmail/etc.)],"")</f>
        <v>alejarri@fiu.edu</v>
      </c>
      <c r="I8" s="1" t="str">
        <f>_xlfn.XLOOKUP(TableFA2132[[#This Row],[Project]],Projects[Project],Projects[Affiliation (Company/University/Place of Work)],"")</f>
        <v>FIU</v>
      </c>
      <c r="J8" s="1" t="str">
        <f>_xlfn.XLOOKUP(TableFA2132[[#This Row],[Project]],Projects[Project],Projects[Job Title],"")</f>
        <v>Associate Professor</v>
      </c>
      <c r="K8" s="10">
        <f>COUNTIFS(TableFA2132[Project],TableFA2132[[#This Row],[Project]],TableFA2132[Program],TableFA2132[[#This Row],[Program]])</f>
        <v>5</v>
      </c>
      <c r="L8" s="10">
        <f>COUNTIFS(TableFA2132[Project],TableFA2132[[#This Row],[Project]])</f>
        <v>5</v>
      </c>
      <c r="P8" t="s">
        <v>36</v>
      </c>
      <c r="Q8" t="s">
        <v>36</v>
      </c>
      <c r="R8" t="s">
        <v>36</v>
      </c>
      <c r="S8" t="s">
        <v>36</v>
      </c>
      <c r="T8" t="s">
        <v>36</v>
      </c>
      <c r="U8" t="s">
        <v>36</v>
      </c>
      <c r="V8" t="s">
        <v>36</v>
      </c>
      <c r="W8" t="s">
        <v>36</v>
      </c>
      <c r="X8" s="5" t="s">
        <v>36</v>
      </c>
      <c r="Y8" t="s">
        <v>36</v>
      </c>
      <c r="Z8" t="s">
        <v>36</v>
      </c>
      <c r="AA8" t="s">
        <v>36</v>
      </c>
      <c r="AB8" t="s">
        <v>36</v>
      </c>
      <c r="AC8" t="s">
        <v>36</v>
      </c>
    </row>
    <row r="9" spans="1:30" x14ac:dyDescent="0.2">
      <c r="A9" t="s">
        <v>50</v>
      </c>
      <c r="B9" t="s">
        <v>51</v>
      </c>
      <c r="C9" t="s">
        <v>31</v>
      </c>
      <c r="D9" t="s">
        <v>32</v>
      </c>
      <c r="E9" t="s">
        <v>33</v>
      </c>
      <c r="F9" s="1" t="s">
        <v>47</v>
      </c>
      <c r="G9" s="1" t="str">
        <f>_xlfn.XLOOKUP(TableFA2132[[#This Row],[Project]],Projects[Project],Projects[Full Name],"")</f>
        <v>Alejandro Arrieta</v>
      </c>
      <c r="H9" s="1" t="str">
        <f>_xlfn.XLOOKUP(TableFA2132[[#This Row],[Project]],Projects[Project],Projects[Work Email (no gmail/hotmail/etc.)],"")</f>
        <v>alejarri@fiu.edu</v>
      </c>
      <c r="I9" s="1" t="str">
        <f>_xlfn.XLOOKUP(TableFA2132[[#This Row],[Project]],Projects[Project],Projects[Affiliation (Company/University/Place of Work)],"")</f>
        <v>FIU</v>
      </c>
      <c r="J9" s="1" t="str">
        <f>_xlfn.XLOOKUP(TableFA2132[[#This Row],[Project]],Projects[Project],Projects[Job Title],"")</f>
        <v>Associate Professor</v>
      </c>
      <c r="K9" s="10">
        <f>COUNTIFS(TableFA2132[Project],TableFA2132[[#This Row],[Project]],TableFA2132[Program],TableFA2132[[#This Row],[Program]])</f>
        <v>5</v>
      </c>
      <c r="L9" s="10">
        <f>COUNTIFS(TableFA2132[Project],TableFA2132[[#This Row],[Project]])</f>
        <v>5</v>
      </c>
      <c r="P9" t="s">
        <v>36</v>
      </c>
      <c r="Q9" t="s">
        <v>36</v>
      </c>
      <c r="R9" t="s">
        <v>36</v>
      </c>
      <c r="S9" t="s">
        <v>36</v>
      </c>
      <c r="T9" t="s">
        <v>36</v>
      </c>
      <c r="U9" t="s">
        <v>36</v>
      </c>
      <c r="V9" t="s">
        <v>36</v>
      </c>
      <c r="W9" t="s">
        <v>36</v>
      </c>
      <c r="X9" s="5" t="s">
        <v>36</v>
      </c>
      <c r="Y9" t="s">
        <v>36</v>
      </c>
      <c r="Z9" t="s">
        <v>36</v>
      </c>
      <c r="AA9" t="s">
        <v>36</v>
      </c>
      <c r="AB9" t="s">
        <v>36</v>
      </c>
      <c r="AC9" t="s">
        <v>36</v>
      </c>
    </row>
    <row r="10" spans="1:30" x14ac:dyDescent="0.2">
      <c r="A10" t="s">
        <v>52</v>
      </c>
      <c r="B10" t="s">
        <v>53</v>
      </c>
      <c r="C10" t="s">
        <v>31</v>
      </c>
      <c r="D10" t="s">
        <v>32</v>
      </c>
      <c r="E10" t="s">
        <v>33</v>
      </c>
      <c r="F10" s="1" t="s">
        <v>47</v>
      </c>
      <c r="G10" s="1" t="str">
        <f>_xlfn.XLOOKUP(TableFA2132[[#This Row],[Project]],Projects[Project],Projects[Full Name],"")</f>
        <v>Alejandro Arrieta</v>
      </c>
      <c r="H10" s="1" t="str">
        <f>_xlfn.XLOOKUP(TableFA2132[[#This Row],[Project]],Projects[Project],Projects[Work Email (no gmail/hotmail/etc.)],"")</f>
        <v>alejarri@fiu.edu</v>
      </c>
      <c r="I10" s="1" t="str">
        <f>_xlfn.XLOOKUP(TableFA2132[[#This Row],[Project]],Projects[Project],Projects[Affiliation (Company/University/Place of Work)],"")</f>
        <v>FIU</v>
      </c>
      <c r="J10" s="1" t="str">
        <f>_xlfn.XLOOKUP(TableFA2132[[#This Row],[Project]],Projects[Project],Projects[Job Title],"")</f>
        <v>Associate Professor</v>
      </c>
      <c r="K10" s="10">
        <f>COUNTIFS(TableFA2132[Project],TableFA2132[[#This Row],[Project]],TableFA2132[Program],TableFA2132[[#This Row],[Program]])</f>
        <v>5</v>
      </c>
      <c r="L10" s="10">
        <f>COUNTIFS(TableFA2132[Project],TableFA2132[[#This Row],[Project]])</f>
        <v>5</v>
      </c>
      <c r="P10" t="s">
        <v>36</v>
      </c>
      <c r="Q10" t="s">
        <v>36</v>
      </c>
      <c r="R10" t="s">
        <v>36</v>
      </c>
      <c r="S10" t="s">
        <v>36</v>
      </c>
      <c r="T10" t="s">
        <v>36</v>
      </c>
      <c r="U10" t="s">
        <v>36</v>
      </c>
      <c r="V10" t="s">
        <v>36</v>
      </c>
      <c r="W10" t="s">
        <v>36</v>
      </c>
      <c r="X10" s="5" t="s">
        <v>36</v>
      </c>
      <c r="Y10" t="s">
        <v>36</v>
      </c>
      <c r="Z10" t="s">
        <v>36</v>
      </c>
      <c r="AA10" t="s">
        <v>36</v>
      </c>
      <c r="AB10" t="s">
        <v>36</v>
      </c>
      <c r="AC10" t="s">
        <v>36</v>
      </c>
    </row>
    <row r="11" spans="1:30" x14ac:dyDescent="0.2">
      <c r="A11" t="s">
        <v>54</v>
      </c>
      <c r="B11" t="s">
        <v>55</v>
      </c>
      <c r="C11" t="s">
        <v>31</v>
      </c>
      <c r="D11" t="s">
        <v>32</v>
      </c>
      <c r="E11" t="s">
        <v>33</v>
      </c>
      <c r="F11" s="1" t="s">
        <v>47</v>
      </c>
      <c r="G11" s="1" t="str">
        <f>_xlfn.XLOOKUP(TableFA2132[[#This Row],[Project]],Projects[Project],Projects[Full Name],"")</f>
        <v>Alejandro Arrieta</v>
      </c>
      <c r="H11" s="1" t="str">
        <f>_xlfn.XLOOKUP(TableFA2132[[#This Row],[Project]],Projects[Project],Projects[Work Email (no gmail/hotmail/etc.)],"")</f>
        <v>alejarri@fiu.edu</v>
      </c>
      <c r="I11" s="1" t="str">
        <f>_xlfn.XLOOKUP(TableFA2132[[#This Row],[Project]],Projects[Project],Projects[Affiliation (Company/University/Place of Work)],"")</f>
        <v>FIU</v>
      </c>
      <c r="J11" s="1" t="str">
        <f>_xlfn.XLOOKUP(TableFA2132[[#This Row],[Project]],Projects[Project],Projects[Job Title],"")</f>
        <v>Associate Professor</v>
      </c>
      <c r="K11" s="10">
        <f>COUNTIFS(TableFA2132[Project],TableFA2132[[#This Row],[Project]],TableFA2132[Program],TableFA2132[[#This Row],[Program]])</f>
        <v>5</v>
      </c>
      <c r="L11" s="10">
        <f>COUNTIFS(TableFA2132[Project],TableFA2132[[#This Row],[Project]])</f>
        <v>5</v>
      </c>
      <c r="P11" t="s">
        <v>36</v>
      </c>
      <c r="Q11" t="s">
        <v>36</v>
      </c>
      <c r="R11" t="s">
        <v>36</v>
      </c>
      <c r="S11" t="s">
        <v>36</v>
      </c>
      <c r="T11" t="s">
        <v>36</v>
      </c>
      <c r="U11" t="s">
        <v>36</v>
      </c>
      <c r="V11" t="s">
        <v>36</v>
      </c>
      <c r="W11" t="s">
        <v>36</v>
      </c>
      <c r="X11" s="5" t="s">
        <v>36</v>
      </c>
      <c r="Y11" t="s">
        <v>36</v>
      </c>
      <c r="Z11" t="s">
        <v>36</v>
      </c>
      <c r="AA11" t="s">
        <v>36</v>
      </c>
      <c r="AB11" t="s">
        <v>36</v>
      </c>
      <c r="AC11" t="s">
        <v>36</v>
      </c>
    </row>
    <row r="12" spans="1:30" x14ac:dyDescent="0.2">
      <c r="A12" t="s">
        <v>56</v>
      </c>
      <c r="B12" s="3" t="s">
        <v>57</v>
      </c>
      <c r="C12" s="3" t="s">
        <v>31</v>
      </c>
      <c r="D12" s="3" t="s">
        <v>32</v>
      </c>
      <c r="E12" t="s">
        <v>33</v>
      </c>
      <c r="F12" s="10" t="s">
        <v>58</v>
      </c>
      <c r="G12" s="1" t="str">
        <f>_xlfn.XLOOKUP(TableFA2132[[#This Row],[Project]],Projects[Project],Projects[Full Name],"")</f>
        <v>Ravi Venugopal</v>
      </c>
      <c r="H12" s="1" t="str">
        <f>_xlfn.XLOOKUP(TableFA2132[[#This Row],[Project]],Projects[Project],Projects[Work Email (no gmail/hotmail/etc.)],"")</f>
        <v>ravi@giggso.com</v>
      </c>
      <c r="I12" s="1" t="str">
        <f>_xlfn.XLOOKUP(TableFA2132[[#This Row],[Project]],Projects[Project],Projects[Affiliation (Company/University/Place of Work)],"")</f>
        <v>Giggso</v>
      </c>
      <c r="J12" s="1" t="str">
        <f>_xlfn.XLOOKUP(TableFA2132[[#This Row],[Project]],Projects[Project],Projects[Job Title],"")</f>
        <v>Founder &amp; CEO</v>
      </c>
      <c r="K12" s="10">
        <f>COUNTIFS(TableFA2132[Project],TableFA2132[[#This Row],[Project]],TableFA2132[Program],TableFA2132[[#This Row],[Program]])</f>
        <v>5</v>
      </c>
      <c r="L12" s="10">
        <f>COUNTIFS(TableFA2132[Project],TableFA2132[[#This Row],[Project]])</f>
        <v>5</v>
      </c>
      <c r="M12" s="3" t="s">
        <v>35</v>
      </c>
      <c r="N12" s="3"/>
      <c r="O12" s="3"/>
      <c r="P12" s="3" t="s">
        <v>36</v>
      </c>
      <c r="Q12" s="3" t="s">
        <v>36</v>
      </c>
      <c r="R12" s="3" t="s">
        <v>36</v>
      </c>
      <c r="S12" s="3" t="s">
        <v>36</v>
      </c>
      <c r="T12" s="3" t="s">
        <v>36</v>
      </c>
      <c r="U12" s="3" t="s">
        <v>36</v>
      </c>
      <c r="V12" s="3" t="s">
        <v>36</v>
      </c>
      <c r="W12" s="3" t="s">
        <v>36</v>
      </c>
      <c r="X12" s="3" t="s">
        <v>36</v>
      </c>
      <c r="Y12" s="3" t="s">
        <v>36</v>
      </c>
      <c r="Z12" s="3" t="s">
        <v>36</v>
      </c>
      <c r="AA12" s="3" t="s">
        <v>36</v>
      </c>
      <c r="AB12" s="3"/>
      <c r="AC12" s="3"/>
    </row>
    <row r="13" spans="1:30" x14ac:dyDescent="0.2">
      <c r="A13" t="s">
        <v>59</v>
      </c>
      <c r="B13" t="s">
        <v>60</v>
      </c>
      <c r="C13" t="s">
        <v>31</v>
      </c>
      <c r="D13" t="s">
        <v>32</v>
      </c>
      <c r="E13" t="s">
        <v>33</v>
      </c>
      <c r="F13" s="1" t="s">
        <v>58</v>
      </c>
      <c r="G13" s="1" t="str">
        <f>_xlfn.XLOOKUP(TableFA2132[[#This Row],[Project]],Projects[Project],Projects[Full Name],"")</f>
        <v>Ravi Venugopal</v>
      </c>
      <c r="H13" s="1" t="str">
        <f>_xlfn.XLOOKUP(TableFA2132[[#This Row],[Project]],Projects[Project],Projects[Work Email (no gmail/hotmail/etc.)],"")</f>
        <v>ravi@giggso.com</v>
      </c>
      <c r="I13" s="1" t="str">
        <f>_xlfn.XLOOKUP(TableFA2132[[#This Row],[Project]],Projects[Project],Projects[Affiliation (Company/University/Place of Work)],"")</f>
        <v>Giggso</v>
      </c>
      <c r="J13" s="1" t="str">
        <f>_xlfn.XLOOKUP(TableFA2132[[#This Row],[Project]],Projects[Project],Projects[Job Title],"")</f>
        <v>Founder &amp; CEO</v>
      </c>
      <c r="K13" s="1">
        <f>COUNTIFS(TableFA2132[Project],TableFA2132[[#This Row],[Project]],TableFA2132[Program],TableFA2132[[#This Row],[Program]])</f>
        <v>5</v>
      </c>
      <c r="L13" s="1">
        <f>COUNTIFS(TableFA2132[Project],TableFA2132[[#This Row],[Project]])</f>
        <v>5</v>
      </c>
      <c r="P13" t="s">
        <v>36</v>
      </c>
      <c r="Q13" t="s">
        <v>36</v>
      </c>
      <c r="R13" t="s">
        <v>36</v>
      </c>
      <c r="S13" t="s">
        <v>36</v>
      </c>
      <c r="T13" t="s">
        <v>36</v>
      </c>
      <c r="U13" t="s">
        <v>36</v>
      </c>
      <c r="V13" t="s">
        <v>36</v>
      </c>
      <c r="W13" t="s">
        <v>36</v>
      </c>
      <c r="X13" t="s">
        <v>36</v>
      </c>
      <c r="Y13" t="s">
        <v>36</v>
      </c>
      <c r="Z13" t="s">
        <v>36</v>
      </c>
      <c r="AA13" t="s">
        <v>36</v>
      </c>
    </row>
    <row r="14" spans="1:30" x14ac:dyDescent="0.2">
      <c r="A14" t="s">
        <v>61</v>
      </c>
      <c r="B14" t="s">
        <v>62</v>
      </c>
      <c r="C14" t="s">
        <v>31</v>
      </c>
      <c r="D14" t="s">
        <v>32</v>
      </c>
      <c r="E14" t="s">
        <v>33</v>
      </c>
      <c r="F14" s="1" t="s">
        <v>58</v>
      </c>
      <c r="G14" s="1" t="str">
        <f>_xlfn.XLOOKUP(TableFA2132[[#This Row],[Project]],Projects[Project],Projects[Full Name],"")</f>
        <v>Ravi Venugopal</v>
      </c>
      <c r="H14" s="1" t="str">
        <f>_xlfn.XLOOKUP(TableFA2132[[#This Row],[Project]],Projects[Project],Projects[Work Email (no gmail/hotmail/etc.)],"")</f>
        <v>ravi@giggso.com</v>
      </c>
      <c r="I14" s="1" t="str">
        <f>_xlfn.XLOOKUP(TableFA2132[[#This Row],[Project]],Projects[Project],Projects[Affiliation (Company/University/Place of Work)],"")</f>
        <v>Giggso</v>
      </c>
      <c r="J14" s="1" t="str">
        <f>_xlfn.XLOOKUP(TableFA2132[[#This Row],[Project]],Projects[Project],Projects[Job Title],"")</f>
        <v>Founder &amp; CEO</v>
      </c>
      <c r="K14" s="10">
        <f>COUNTIFS(TableFA2132[Project],TableFA2132[[#This Row],[Project]],TableFA2132[Program],TableFA2132[[#This Row],[Program]])</f>
        <v>5</v>
      </c>
      <c r="L14" s="10">
        <f>COUNTIFS(TableFA2132[Project],TableFA2132[[#This Row],[Project]])</f>
        <v>5</v>
      </c>
      <c r="P14" t="s">
        <v>36</v>
      </c>
      <c r="Q14" t="s">
        <v>36</v>
      </c>
      <c r="R14" t="s">
        <v>36</v>
      </c>
      <c r="S14" t="s">
        <v>36</v>
      </c>
      <c r="T14" t="s">
        <v>36</v>
      </c>
      <c r="U14" t="s">
        <v>36</v>
      </c>
      <c r="V14" t="s">
        <v>36</v>
      </c>
      <c r="W14" t="s">
        <v>36</v>
      </c>
      <c r="X14" t="s">
        <v>36</v>
      </c>
      <c r="Y14" t="s">
        <v>36</v>
      </c>
      <c r="Z14" t="s">
        <v>36</v>
      </c>
      <c r="AA14" t="s">
        <v>36</v>
      </c>
    </row>
    <row r="15" spans="1:30" x14ac:dyDescent="0.2">
      <c r="A15" t="s">
        <v>63</v>
      </c>
      <c r="B15" t="s">
        <v>64</v>
      </c>
      <c r="C15" t="s">
        <v>31</v>
      </c>
      <c r="D15" t="s">
        <v>32</v>
      </c>
      <c r="E15" t="s">
        <v>33</v>
      </c>
      <c r="F15" s="1" t="s">
        <v>58</v>
      </c>
      <c r="G15" s="1" t="str">
        <f>_xlfn.XLOOKUP(TableFA2132[[#This Row],[Project]],Projects[Project],Projects[Full Name],"")</f>
        <v>Ravi Venugopal</v>
      </c>
      <c r="H15" s="1" t="str">
        <f>_xlfn.XLOOKUP(TableFA2132[[#This Row],[Project]],Projects[Project],Projects[Work Email (no gmail/hotmail/etc.)],"")</f>
        <v>ravi@giggso.com</v>
      </c>
      <c r="I15" s="1" t="str">
        <f>_xlfn.XLOOKUP(TableFA2132[[#This Row],[Project]],Projects[Project],Projects[Affiliation (Company/University/Place of Work)],"")</f>
        <v>Giggso</v>
      </c>
      <c r="J15" s="1" t="str">
        <f>_xlfn.XLOOKUP(TableFA2132[[#This Row],[Project]],Projects[Project],Projects[Job Title],"")</f>
        <v>Founder &amp; CEO</v>
      </c>
      <c r="K15" s="10">
        <f>COUNTIFS(TableFA2132[Project],TableFA2132[[#This Row],[Project]],TableFA2132[Program],TableFA2132[[#This Row],[Program]])</f>
        <v>5</v>
      </c>
      <c r="L15" s="10">
        <f>COUNTIFS(TableFA2132[Project],TableFA2132[[#This Row],[Project]])</f>
        <v>5</v>
      </c>
      <c r="N15" s="23"/>
      <c r="P15" t="s">
        <v>36</v>
      </c>
      <c r="Q15" t="s">
        <v>36</v>
      </c>
      <c r="R15" t="s">
        <v>36</v>
      </c>
      <c r="S15" t="s">
        <v>36</v>
      </c>
      <c r="T15" t="s">
        <v>36</v>
      </c>
      <c r="U15" t="s">
        <v>36</v>
      </c>
      <c r="V15" t="s">
        <v>36</v>
      </c>
      <c r="W15" t="s">
        <v>36</v>
      </c>
      <c r="X15" t="s">
        <v>36</v>
      </c>
      <c r="Y15" t="s">
        <v>36</v>
      </c>
      <c r="Z15" t="s">
        <v>36</v>
      </c>
      <c r="AA15" t="s">
        <v>36</v>
      </c>
    </row>
    <row r="16" spans="1:30" x14ac:dyDescent="0.2">
      <c r="A16" t="s">
        <v>65</v>
      </c>
      <c r="B16" t="s">
        <v>66</v>
      </c>
      <c r="C16" t="s">
        <v>31</v>
      </c>
      <c r="D16" t="s">
        <v>32</v>
      </c>
      <c r="E16" t="s">
        <v>33</v>
      </c>
      <c r="F16" s="1" t="s">
        <v>58</v>
      </c>
      <c r="G16" s="1" t="str">
        <f>_xlfn.XLOOKUP(TableFA2132[[#This Row],[Project]],Projects[Project],Projects[Full Name],"")</f>
        <v>Ravi Venugopal</v>
      </c>
      <c r="H16" s="1" t="str">
        <f>_xlfn.XLOOKUP(TableFA2132[[#This Row],[Project]],Projects[Project],Projects[Work Email (no gmail/hotmail/etc.)],"")</f>
        <v>ravi@giggso.com</v>
      </c>
      <c r="I16" s="1" t="str">
        <f>_xlfn.XLOOKUP(TableFA2132[[#This Row],[Project]],Projects[Project],Projects[Affiliation (Company/University/Place of Work)],"")</f>
        <v>Giggso</v>
      </c>
      <c r="J16" s="1" t="str">
        <f>_xlfn.XLOOKUP(TableFA2132[[#This Row],[Project]],Projects[Project],Projects[Job Title],"")</f>
        <v>Founder &amp; CEO</v>
      </c>
      <c r="K16" s="10">
        <f>COUNTIFS(TableFA2132[Project],TableFA2132[[#This Row],[Project]],TableFA2132[Program],TableFA2132[[#This Row],[Program]])</f>
        <v>5</v>
      </c>
      <c r="L16" s="10">
        <f>COUNTIFS(TableFA2132[Project],TableFA2132[[#This Row],[Project]])</f>
        <v>5</v>
      </c>
      <c r="P16" t="s">
        <v>36</v>
      </c>
      <c r="Q16" t="s">
        <v>36</v>
      </c>
      <c r="R16" t="s">
        <v>36</v>
      </c>
      <c r="S16" t="s">
        <v>36</v>
      </c>
      <c r="T16" t="s">
        <v>36</v>
      </c>
      <c r="U16" t="s">
        <v>36</v>
      </c>
      <c r="V16" t="s">
        <v>36</v>
      </c>
      <c r="W16" t="s">
        <v>36</v>
      </c>
      <c r="X16" t="s">
        <v>36</v>
      </c>
      <c r="Y16" t="s">
        <v>36</v>
      </c>
      <c r="Z16" t="s">
        <v>36</v>
      </c>
      <c r="AA16" t="s">
        <v>36</v>
      </c>
    </row>
    <row r="17" spans="1:29" x14ac:dyDescent="0.2">
      <c r="A17" s="3" t="s">
        <v>67</v>
      </c>
      <c r="B17" s="3" t="s">
        <v>68</v>
      </c>
      <c r="C17" s="3" t="s">
        <v>31</v>
      </c>
      <c r="D17" s="3" t="s">
        <v>32</v>
      </c>
      <c r="E17" t="s">
        <v>33</v>
      </c>
      <c r="F17" s="10" t="s">
        <v>69</v>
      </c>
      <c r="G17" s="1" t="str">
        <f>_xlfn.XLOOKUP(TableFA2132[[#This Row],[Project]],Projects[Project],Projects[Full Name],"")</f>
        <v>Olamide Oduntan</v>
      </c>
      <c r="H17" s="1" t="str">
        <f>_xlfn.XLOOKUP(TableFA2132[[#This Row],[Project]],Projects[Project],Projects[Work Email (no gmail/hotmail/etc.)],"")</f>
        <v>oodun003@fiu.edu</v>
      </c>
      <c r="I17" s="1" t="str">
        <f>_xlfn.XLOOKUP(TableFA2132[[#This Row],[Project]],Projects[Project],Projects[Affiliation (Company/University/Place of Work)],"")</f>
        <v>Florida International University</v>
      </c>
      <c r="J17" s="1" t="str">
        <f>_xlfn.XLOOKUP(TableFA2132[[#This Row],[Project]],Projects[Project],Projects[Job Title],"")</f>
        <v>Capstone 2 Student</v>
      </c>
      <c r="K17" s="10">
        <f>COUNTIFS(TableFA2132[Project],TableFA2132[[#This Row],[Project]],TableFA2132[Program],TableFA2132[[#This Row],[Program]])</f>
        <v>5</v>
      </c>
      <c r="L17" s="10">
        <f>COUNTIFS(TableFA2132[Project],TableFA2132[[#This Row],[Project]])</f>
        <v>5</v>
      </c>
      <c r="M17" s="3" t="s">
        <v>35</v>
      </c>
      <c r="N17" s="3"/>
      <c r="O17" s="3"/>
      <c r="P17" s="3" t="s">
        <v>36</v>
      </c>
      <c r="Q17" s="3" t="s">
        <v>36</v>
      </c>
      <c r="R17" s="3" t="s">
        <v>36</v>
      </c>
      <c r="S17" s="3" t="s">
        <v>36</v>
      </c>
      <c r="T17" s="3" t="s">
        <v>36</v>
      </c>
      <c r="U17" s="3" t="s">
        <v>36</v>
      </c>
      <c r="V17" s="3" t="s">
        <v>36</v>
      </c>
      <c r="W17" s="3" t="s">
        <v>36</v>
      </c>
      <c r="X17" s="21" t="s">
        <v>36</v>
      </c>
      <c r="Y17" s="3" t="s">
        <v>36</v>
      </c>
      <c r="Z17" s="3" t="s">
        <v>36</v>
      </c>
      <c r="AA17" s="3" t="s">
        <v>36</v>
      </c>
      <c r="AB17" s="3" t="s">
        <v>36</v>
      </c>
      <c r="AC17" s="3"/>
    </row>
    <row r="18" spans="1:29" x14ac:dyDescent="0.2">
      <c r="A18" t="s">
        <v>70</v>
      </c>
      <c r="B18" t="s">
        <v>71</v>
      </c>
      <c r="C18" t="s">
        <v>31</v>
      </c>
      <c r="D18" t="s">
        <v>32</v>
      </c>
      <c r="E18" t="s">
        <v>33</v>
      </c>
      <c r="F18" s="1" t="s">
        <v>69</v>
      </c>
      <c r="G18" s="1" t="str">
        <f>_xlfn.XLOOKUP(TableFA2132[[#This Row],[Project]],Projects[Project],Projects[Full Name],"")</f>
        <v>Olamide Oduntan</v>
      </c>
      <c r="H18" s="1" t="str">
        <f>_xlfn.XLOOKUP(TableFA2132[[#This Row],[Project]],Projects[Project],Projects[Work Email (no gmail/hotmail/etc.)],"")</f>
        <v>oodun003@fiu.edu</v>
      </c>
      <c r="I18" s="1" t="str">
        <f>_xlfn.XLOOKUP(TableFA2132[[#This Row],[Project]],Projects[Project],Projects[Affiliation (Company/University/Place of Work)],"")</f>
        <v>Florida International University</v>
      </c>
      <c r="J18" s="1" t="str">
        <f>_xlfn.XLOOKUP(TableFA2132[[#This Row],[Project]],Projects[Project],Projects[Job Title],"")</f>
        <v>Capstone 2 Student</v>
      </c>
      <c r="K18" s="10">
        <f>COUNTIFS(TableFA2132[Project],TableFA2132[[#This Row],[Project]],TableFA2132[Program],TableFA2132[[#This Row],[Program]])</f>
        <v>5</v>
      </c>
      <c r="L18" s="10">
        <f>COUNTIFS(TableFA2132[Project],TableFA2132[[#This Row],[Project]])</f>
        <v>5</v>
      </c>
      <c r="P18" t="s">
        <v>36</v>
      </c>
      <c r="Q18" t="s">
        <v>36</v>
      </c>
      <c r="R18" t="s">
        <v>36</v>
      </c>
      <c r="S18" t="s">
        <v>36</v>
      </c>
      <c r="T18" t="s">
        <v>36</v>
      </c>
      <c r="U18" t="s">
        <v>36</v>
      </c>
      <c r="V18" t="s">
        <v>36</v>
      </c>
      <c r="W18" t="s">
        <v>36</v>
      </c>
      <c r="X18" s="5" t="s">
        <v>36</v>
      </c>
      <c r="Y18" t="s">
        <v>36</v>
      </c>
      <c r="Z18" t="s">
        <v>36</v>
      </c>
      <c r="AA18" t="s">
        <v>36</v>
      </c>
      <c r="AB18" t="s">
        <v>36</v>
      </c>
    </row>
    <row r="19" spans="1:29" x14ac:dyDescent="0.2">
      <c r="A19" t="s">
        <v>72</v>
      </c>
      <c r="B19" t="s">
        <v>73</v>
      </c>
      <c r="C19" t="s">
        <v>31</v>
      </c>
      <c r="D19" t="s">
        <v>32</v>
      </c>
      <c r="E19" t="s">
        <v>33</v>
      </c>
      <c r="F19" s="1" t="s">
        <v>69</v>
      </c>
      <c r="G19" s="1" t="str">
        <f>_xlfn.XLOOKUP(TableFA2132[[#This Row],[Project]],Projects[Project],Projects[Full Name],"")</f>
        <v>Olamide Oduntan</v>
      </c>
      <c r="H19" s="1" t="str">
        <f>_xlfn.XLOOKUP(TableFA2132[[#This Row],[Project]],Projects[Project],Projects[Work Email (no gmail/hotmail/etc.)],"")</f>
        <v>oodun003@fiu.edu</v>
      </c>
      <c r="I19" s="1" t="str">
        <f>_xlfn.XLOOKUP(TableFA2132[[#This Row],[Project]],Projects[Project],Projects[Affiliation (Company/University/Place of Work)],"")</f>
        <v>Florida International University</v>
      </c>
      <c r="J19" s="1" t="str">
        <f>_xlfn.XLOOKUP(TableFA2132[[#This Row],[Project]],Projects[Project],Projects[Job Title],"")</f>
        <v>Capstone 2 Student</v>
      </c>
      <c r="K19" s="10">
        <f>COUNTIFS(TableFA2132[Project],TableFA2132[[#This Row],[Project]],TableFA2132[Program],TableFA2132[[#This Row],[Program]])</f>
        <v>5</v>
      </c>
      <c r="L19" s="10">
        <f>COUNTIFS(TableFA2132[Project],TableFA2132[[#This Row],[Project]])</f>
        <v>5</v>
      </c>
      <c r="P19" t="s">
        <v>36</v>
      </c>
      <c r="Q19" t="s">
        <v>36</v>
      </c>
      <c r="R19" t="s">
        <v>36</v>
      </c>
      <c r="S19" t="s">
        <v>36</v>
      </c>
      <c r="T19" t="s">
        <v>36</v>
      </c>
      <c r="U19" t="s">
        <v>36</v>
      </c>
      <c r="V19" t="s">
        <v>36</v>
      </c>
      <c r="W19" t="s">
        <v>36</v>
      </c>
      <c r="X19" s="5" t="s">
        <v>74</v>
      </c>
      <c r="Y19" t="s">
        <v>36</v>
      </c>
      <c r="Z19" t="s">
        <v>36</v>
      </c>
      <c r="AA19" t="s">
        <v>36</v>
      </c>
      <c r="AB19" t="s">
        <v>36</v>
      </c>
    </row>
    <row r="20" spans="1:29" x14ac:dyDescent="0.2">
      <c r="A20" t="s">
        <v>75</v>
      </c>
      <c r="B20" t="s">
        <v>76</v>
      </c>
      <c r="C20" t="s">
        <v>31</v>
      </c>
      <c r="D20" t="s">
        <v>32</v>
      </c>
      <c r="E20" t="s">
        <v>33</v>
      </c>
      <c r="F20" s="1" t="s">
        <v>69</v>
      </c>
      <c r="G20" s="1" t="str">
        <f>_xlfn.XLOOKUP(TableFA2132[[#This Row],[Project]],Projects[Project],Projects[Full Name],"")</f>
        <v>Olamide Oduntan</v>
      </c>
      <c r="H20" s="1" t="str">
        <f>_xlfn.XLOOKUP(TableFA2132[[#This Row],[Project]],Projects[Project],Projects[Work Email (no gmail/hotmail/etc.)],"")</f>
        <v>oodun003@fiu.edu</v>
      </c>
      <c r="I20" s="1" t="str">
        <f>_xlfn.XLOOKUP(TableFA2132[[#This Row],[Project]],Projects[Project],Projects[Affiliation (Company/University/Place of Work)],"")</f>
        <v>Florida International University</v>
      </c>
      <c r="J20" s="1" t="str">
        <f>_xlfn.XLOOKUP(TableFA2132[[#This Row],[Project]],Projects[Project],Projects[Job Title],"")</f>
        <v>Capstone 2 Student</v>
      </c>
      <c r="K20" s="10">
        <f>COUNTIFS(TableFA2132[Project],TableFA2132[[#This Row],[Project]],TableFA2132[Program],TableFA2132[[#This Row],[Program]])</f>
        <v>5</v>
      </c>
      <c r="L20" s="10">
        <f>COUNTIFS(TableFA2132[Project],TableFA2132[[#This Row],[Project]])</f>
        <v>5</v>
      </c>
      <c r="P20" t="s">
        <v>36</v>
      </c>
      <c r="Q20" t="s">
        <v>36</v>
      </c>
      <c r="R20" t="s">
        <v>36</v>
      </c>
      <c r="S20" t="s">
        <v>36</v>
      </c>
      <c r="T20" t="s">
        <v>36</v>
      </c>
      <c r="U20" t="s">
        <v>36</v>
      </c>
      <c r="V20" t="s">
        <v>36</v>
      </c>
      <c r="W20" t="s">
        <v>36</v>
      </c>
      <c r="X20" s="5" t="s">
        <v>36</v>
      </c>
      <c r="Y20" t="s">
        <v>36</v>
      </c>
      <c r="Z20" t="s">
        <v>36</v>
      </c>
      <c r="AA20" t="s">
        <v>36</v>
      </c>
      <c r="AB20" t="s">
        <v>36</v>
      </c>
    </row>
    <row r="21" spans="1:29" x14ac:dyDescent="0.2">
      <c r="A21" t="s">
        <v>77</v>
      </c>
      <c r="B21" t="s">
        <v>78</v>
      </c>
      <c r="C21" t="s">
        <v>31</v>
      </c>
      <c r="D21" t="s">
        <v>32</v>
      </c>
      <c r="E21" t="s">
        <v>33</v>
      </c>
      <c r="F21" s="1" t="s">
        <v>69</v>
      </c>
      <c r="G21" s="1" t="str">
        <f>_xlfn.XLOOKUP(TableFA2132[[#This Row],[Project]],Projects[Project],Projects[Full Name],"")</f>
        <v>Olamide Oduntan</v>
      </c>
      <c r="H21" s="1" t="str">
        <f>_xlfn.XLOOKUP(TableFA2132[[#This Row],[Project]],Projects[Project],Projects[Work Email (no gmail/hotmail/etc.)],"")</f>
        <v>oodun003@fiu.edu</v>
      </c>
      <c r="I21" s="1" t="str">
        <f>_xlfn.XLOOKUP(TableFA2132[[#This Row],[Project]],Projects[Project],Projects[Affiliation (Company/University/Place of Work)],"")</f>
        <v>Florida International University</v>
      </c>
      <c r="J21" s="1" t="str">
        <f>_xlfn.XLOOKUP(TableFA2132[[#This Row],[Project]],Projects[Project],Projects[Job Title],"")</f>
        <v>Capstone 2 Student</v>
      </c>
      <c r="K21" s="10">
        <f>COUNTIFS(TableFA2132[Project],TableFA2132[[#This Row],[Project]],TableFA2132[Program],TableFA2132[[#This Row],[Program]])</f>
        <v>5</v>
      </c>
      <c r="L21" s="10">
        <f>COUNTIFS(TableFA2132[Project],TableFA2132[[#This Row],[Project]])</f>
        <v>5</v>
      </c>
      <c r="P21" t="s">
        <v>36</v>
      </c>
      <c r="Q21" t="s">
        <v>36</v>
      </c>
      <c r="R21" t="s">
        <v>36</v>
      </c>
      <c r="S21" t="s">
        <v>36</v>
      </c>
      <c r="T21" t="s">
        <v>36</v>
      </c>
      <c r="U21" t="s">
        <v>36</v>
      </c>
      <c r="V21" t="s">
        <v>36</v>
      </c>
      <c r="W21" t="s">
        <v>36</v>
      </c>
      <c r="X21" s="5" t="s">
        <v>36</v>
      </c>
      <c r="Y21" t="s">
        <v>36</v>
      </c>
      <c r="Z21" t="s">
        <v>36</v>
      </c>
      <c r="AA21" t="s">
        <v>36</v>
      </c>
      <c r="AB21" t="s">
        <v>36</v>
      </c>
    </row>
    <row r="22" spans="1:29" x14ac:dyDescent="0.2">
      <c r="A22" t="s">
        <v>79</v>
      </c>
      <c r="B22" t="s">
        <v>80</v>
      </c>
      <c r="C22" t="s">
        <v>31</v>
      </c>
      <c r="D22" t="s">
        <v>32</v>
      </c>
      <c r="E22" t="s">
        <v>33</v>
      </c>
      <c r="F22" s="1" t="s">
        <v>81</v>
      </c>
      <c r="G22" s="1" t="str">
        <f>_xlfn.XLOOKUP(TableFA2132[[#This Row],[Project]],Projects[Project],Projects[Full Name],"")</f>
        <v>Christian Poellabauer</v>
      </c>
      <c r="H22" s="1" t="str">
        <f>_xlfn.XLOOKUP(TableFA2132[[#This Row],[Project]],Projects[Project],Projects[Work Email (no gmail/hotmail/etc.)],"")</f>
        <v>cpoellab@fiu.edu</v>
      </c>
      <c r="I22" s="1" t="str">
        <f>_xlfn.XLOOKUP(TableFA2132[[#This Row],[Project]],Projects[Project],Projects[Affiliation (Company/University/Place of Work)],"")</f>
        <v>Florida International University</v>
      </c>
      <c r="J22" s="1" t="str">
        <f>_xlfn.XLOOKUP(TableFA2132[[#This Row],[Project]],Projects[Project],Projects[Job Title],"")</f>
        <v>Professor</v>
      </c>
      <c r="K22" s="10">
        <f>COUNTIFS(TableFA2132[Project],TableFA2132[[#This Row],[Project]],TableFA2132[Program],TableFA2132[[#This Row],[Program]])</f>
        <v>5</v>
      </c>
      <c r="L22" s="10">
        <f>COUNTIFS(TableFA2132[Project],TableFA2132[[#This Row],[Project]])</f>
        <v>5</v>
      </c>
      <c r="M22" s="22" t="s">
        <v>35</v>
      </c>
      <c r="P22" s="3" t="s">
        <v>36</v>
      </c>
      <c r="Q22" s="3" t="s">
        <v>36</v>
      </c>
      <c r="R22" s="3" t="s">
        <v>36</v>
      </c>
      <c r="S22" s="3" t="s">
        <v>36</v>
      </c>
      <c r="T22" s="3" t="s">
        <v>36</v>
      </c>
      <c r="U22" s="3" t="s">
        <v>36</v>
      </c>
      <c r="V22" s="3" t="s">
        <v>36</v>
      </c>
      <c r="W22" s="3" t="s">
        <v>36</v>
      </c>
      <c r="X22" s="3" t="s">
        <v>36</v>
      </c>
      <c r="Y22" s="3" t="s">
        <v>36</v>
      </c>
      <c r="Z22" s="3" t="s">
        <v>36</v>
      </c>
      <c r="AA22" s="3" t="s">
        <v>36</v>
      </c>
      <c r="AB22" s="3" t="s">
        <v>36</v>
      </c>
      <c r="AC22" s="3" t="s">
        <v>36</v>
      </c>
    </row>
    <row r="23" spans="1:29" x14ac:dyDescent="0.2">
      <c r="A23" t="s">
        <v>82</v>
      </c>
      <c r="B23" t="s">
        <v>83</v>
      </c>
      <c r="C23" t="s">
        <v>31</v>
      </c>
      <c r="D23" t="s">
        <v>32</v>
      </c>
      <c r="E23" t="s">
        <v>33</v>
      </c>
      <c r="F23" s="1" t="s">
        <v>81</v>
      </c>
      <c r="G23" s="1" t="str">
        <f>_xlfn.XLOOKUP(TableFA2132[[#This Row],[Project]],Projects[Project],Projects[Full Name],"")</f>
        <v>Christian Poellabauer</v>
      </c>
      <c r="H23" s="1" t="str">
        <f>_xlfn.XLOOKUP(TableFA2132[[#This Row],[Project]],Projects[Project],Projects[Work Email (no gmail/hotmail/etc.)],"")</f>
        <v>cpoellab@fiu.edu</v>
      </c>
      <c r="I23" s="1" t="str">
        <f>_xlfn.XLOOKUP(TableFA2132[[#This Row],[Project]],Projects[Project],Projects[Affiliation (Company/University/Place of Work)],"")</f>
        <v>Florida International University</v>
      </c>
      <c r="J23" s="1" t="str">
        <f>_xlfn.XLOOKUP(TableFA2132[[#This Row],[Project]],Projects[Project],Projects[Job Title],"")</f>
        <v>Professor</v>
      </c>
      <c r="K23" s="10">
        <f>COUNTIFS(TableFA2132[Project],TableFA2132[[#This Row],[Project]],TableFA2132[Program],TableFA2132[[#This Row],[Program]])</f>
        <v>5</v>
      </c>
      <c r="L23" s="10">
        <f>COUNTIFS(TableFA2132[Project],TableFA2132[[#This Row],[Project]])</f>
        <v>5</v>
      </c>
      <c r="P23" t="s">
        <v>36</v>
      </c>
      <c r="Q23" t="s">
        <v>36</v>
      </c>
      <c r="R23" t="s">
        <v>36</v>
      </c>
      <c r="S23" t="s">
        <v>36</v>
      </c>
      <c r="T23" t="s">
        <v>36</v>
      </c>
      <c r="U23" t="s">
        <v>36</v>
      </c>
      <c r="V23" t="s">
        <v>36</v>
      </c>
      <c r="W23" t="s">
        <v>36</v>
      </c>
      <c r="X23" t="s">
        <v>36</v>
      </c>
      <c r="Y23" t="s">
        <v>36</v>
      </c>
      <c r="Z23" t="s">
        <v>36</v>
      </c>
      <c r="AA23" t="s">
        <v>36</v>
      </c>
      <c r="AB23" t="s">
        <v>36</v>
      </c>
      <c r="AC23" t="s">
        <v>36</v>
      </c>
    </row>
    <row r="24" spans="1:29" x14ac:dyDescent="0.2">
      <c r="A24" t="s">
        <v>84</v>
      </c>
      <c r="B24" t="s">
        <v>85</v>
      </c>
      <c r="C24" t="s">
        <v>31</v>
      </c>
      <c r="D24" t="s">
        <v>32</v>
      </c>
      <c r="E24" t="s">
        <v>33</v>
      </c>
      <c r="F24" s="1" t="s">
        <v>81</v>
      </c>
      <c r="G24" s="1" t="str">
        <f>_xlfn.XLOOKUP(TableFA2132[[#This Row],[Project]],Projects[Project],Projects[Full Name],"")</f>
        <v>Christian Poellabauer</v>
      </c>
      <c r="H24" s="1" t="str">
        <f>_xlfn.XLOOKUP(TableFA2132[[#This Row],[Project]],Projects[Project],Projects[Work Email (no gmail/hotmail/etc.)],"")</f>
        <v>cpoellab@fiu.edu</v>
      </c>
      <c r="I24" s="1" t="str">
        <f>_xlfn.XLOOKUP(TableFA2132[[#This Row],[Project]],Projects[Project],Projects[Affiliation (Company/University/Place of Work)],"")</f>
        <v>Florida International University</v>
      </c>
      <c r="J24" s="1" t="str">
        <f>_xlfn.XLOOKUP(TableFA2132[[#This Row],[Project]],Projects[Project],Projects[Job Title],"")</f>
        <v>Professor</v>
      </c>
      <c r="K24" s="10">
        <f>COUNTIFS(TableFA2132[Project],TableFA2132[[#This Row],[Project]],TableFA2132[Program],TableFA2132[[#This Row],[Program]])</f>
        <v>5</v>
      </c>
      <c r="L24" s="10">
        <f>COUNTIFS(TableFA2132[Project],TableFA2132[[#This Row],[Project]])</f>
        <v>5</v>
      </c>
      <c r="P24" t="s">
        <v>36</v>
      </c>
      <c r="Q24" t="s">
        <v>36</v>
      </c>
      <c r="R24" t="s">
        <v>36</v>
      </c>
      <c r="S24" t="s">
        <v>36</v>
      </c>
      <c r="T24" t="s">
        <v>36</v>
      </c>
      <c r="U24" t="s">
        <v>36</v>
      </c>
      <c r="V24" t="s">
        <v>36</v>
      </c>
      <c r="W24" t="s">
        <v>36</v>
      </c>
      <c r="X24" t="s">
        <v>36</v>
      </c>
      <c r="Y24" t="s">
        <v>36</v>
      </c>
      <c r="Z24" t="s">
        <v>36</v>
      </c>
      <c r="AA24" t="s">
        <v>36</v>
      </c>
      <c r="AB24" t="s">
        <v>36</v>
      </c>
      <c r="AC24" t="s">
        <v>36</v>
      </c>
    </row>
    <row r="25" spans="1:29" x14ac:dyDescent="0.2">
      <c r="A25" t="s">
        <v>86</v>
      </c>
      <c r="B25" t="s">
        <v>87</v>
      </c>
      <c r="C25" t="s">
        <v>31</v>
      </c>
      <c r="D25" t="s">
        <v>32</v>
      </c>
      <c r="E25" t="s">
        <v>33</v>
      </c>
      <c r="F25" t="s">
        <v>81</v>
      </c>
      <c r="G25" s="1" t="str">
        <f>_xlfn.XLOOKUP(TableFA2132[[#This Row],[Project]],Projects[Project],Projects[Full Name],"")</f>
        <v>Christian Poellabauer</v>
      </c>
      <c r="H25" s="1" t="str">
        <f>_xlfn.XLOOKUP(TableFA2132[[#This Row],[Project]],Projects[Project],Projects[Work Email (no gmail/hotmail/etc.)],"")</f>
        <v>cpoellab@fiu.edu</v>
      </c>
      <c r="I25" s="1" t="str">
        <f>_xlfn.XLOOKUP(TableFA2132[[#This Row],[Project]],Projects[Project],Projects[Affiliation (Company/University/Place of Work)],"")</f>
        <v>Florida International University</v>
      </c>
      <c r="J25" s="1" t="str">
        <f>_xlfn.XLOOKUP(TableFA2132[[#This Row],[Project]],Projects[Project],Projects[Job Title],"")</f>
        <v>Professor</v>
      </c>
      <c r="K25" s="1">
        <f>COUNTIFS(TableFA2132[Project],TableFA2132[[#This Row],[Project]],TableFA2132[Program],TableFA2132[[#This Row],[Program]])</f>
        <v>5</v>
      </c>
      <c r="L25" s="1">
        <f>COUNTIFS(TableFA2132[Project],TableFA2132[[#This Row],[Project]])</f>
        <v>5</v>
      </c>
      <c r="P25" t="s">
        <v>36</v>
      </c>
      <c r="Q25" t="s">
        <v>36</v>
      </c>
      <c r="R25" t="s">
        <v>36</v>
      </c>
      <c r="S25" t="s">
        <v>36</v>
      </c>
      <c r="T25" t="s">
        <v>36</v>
      </c>
      <c r="U25" t="s">
        <v>36</v>
      </c>
      <c r="V25" t="s">
        <v>36</v>
      </c>
      <c r="W25" t="s">
        <v>36</v>
      </c>
      <c r="X25" t="s">
        <v>36</v>
      </c>
      <c r="Y25" t="s">
        <v>36</v>
      </c>
      <c r="Z25" t="s">
        <v>36</v>
      </c>
      <c r="AA25" t="s">
        <v>36</v>
      </c>
      <c r="AB25" t="s">
        <v>36</v>
      </c>
      <c r="AC25" t="s">
        <v>36</v>
      </c>
    </row>
    <row r="26" spans="1:29" x14ac:dyDescent="0.2">
      <c r="A26" t="s">
        <v>88</v>
      </c>
      <c r="B26" t="s">
        <v>89</v>
      </c>
      <c r="C26" t="s">
        <v>31</v>
      </c>
      <c r="D26" t="s">
        <v>32</v>
      </c>
      <c r="E26" t="s">
        <v>33</v>
      </c>
      <c r="F26" s="1" t="s">
        <v>81</v>
      </c>
      <c r="G26" s="1" t="str">
        <f>_xlfn.XLOOKUP(TableFA2132[[#This Row],[Project]],Projects[Project],Projects[Full Name],"")</f>
        <v>Christian Poellabauer</v>
      </c>
      <c r="H26" s="1" t="str">
        <f>_xlfn.XLOOKUP(TableFA2132[[#This Row],[Project]],Projects[Project],Projects[Work Email (no gmail/hotmail/etc.)],"")</f>
        <v>cpoellab@fiu.edu</v>
      </c>
      <c r="I26" s="1" t="str">
        <f>_xlfn.XLOOKUP(TableFA2132[[#This Row],[Project]],Projects[Project],Projects[Affiliation (Company/University/Place of Work)],"")</f>
        <v>Florida International University</v>
      </c>
      <c r="J26" s="1" t="str">
        <f>_xlfn.XLOOKUP(TableFA2132[[#This Row],[Project]],Projects[Project],Projects[Job Title],"")</f>
        <v>Professor</v>
      </c>
      <c r="K26" s="10">
        <f>COUNTIFS(TableFA2132[Project],TableFA2132[[#This Row],[Project]],TableFA2132[Program],TableFA2132[[#This Row],[Program]])</f>
        <v>5</v>
      </c>
      <c r="L26" s="10">
        <f>COUNTIFS(TableFA2132[Project],TableFA2132[[#This Row],[Project]])</f>
        <v>5</v>
      </c>
      <c r="P26" t="s">
        <v>36</v>
      </c>
      <c r="Q26" t="s">
        <v>36</v>
      </c>
      <c r="R26" t="s">
        <v>36</v>
      </c>
      <c r="S26" t="s">
        <v>36</v>
      </c>
      <c r="T26" t="s">
        <v>36</v>
      </c>
      <c r="U26" t="s">
        <v>36</v>
      </c>
      <c r="V26" t="s">
        <v>36</v>
      </c>
      <c r="W26" t="s">
        <v>36</v>
      </c>
      <c r="X26" t="s">
        <v>36</v>
      </c>
      <c r="Y26" t="s">
        <v>36</v>
      </c>
      <c r="Z26" t="s">
        <v>36</v>
      </c>
      <c r="AA26" t="s">
        <v>36</v>
      </c>
      <c r="AB26" t="s">
        <v>36</v>
      </c>
      <c r="AC26" t="s">
        <v>36</v>
      </c>
    </row>
    <row r="27" spans="1:29" x14ac:dyDescent="0.2">
      <c r="A27" s="3" t="s">
        <v>90</v>
      </c>
      <c r="B27" s="3" t="s">
        <v>91</v>
      </c>
      <c r="C27" s="3" t="s">
        <v>31</v>
      </c>
      <c r="D27" s="3" t="s">
        <v>32</v>
      </c>
      <c r="E27" t="s">
        <v>33</v>
      </c>
      <c r="F27" s="10" t="s">
        <v>92</v>
      </c>
      <c r="G27" s="10" t="str">
        <f>_xlfn.XLOOKUP(TableFA2132[[#This Row],[Project]],Projects[Project],Projects[Full Name],"")</f>
        <v>Luis Delgado</v>
      </c>
      <c r="H27" s="10" t="str">
        <f>_xlfn.XLOOKUP(TableFA2132[[#This Row],[Project]],Projects[Project],Projects[Work Email (no gmail/hotmail/etc.)],"")</f>
        <v>ldelg093@fiu.edu</v>
      </c>
      <c r="I27" s="10" t="str">
        <f>_xlfn.XLOOKUP(TableFA2132[[#This Row],[Project]],Projects[Project],Projects[Affiliation (Company/University/Place of Work)],"")</f>
        <v>Florida International University</v>
      </c>
      <c r="J27" s="10" t="str">
        <f>_xlfn.XLOOKUP(TableFA2132[[#This Row],[Project]],Projects[Project],Projects[Job Title],"")</f>
        <v>Capstone 2 Student</v>
      </c>
      <c r="K27" s="10">
        <f>COUNTIFS(TableFA2132[Project],TableFA2132[[#This Row],[Project]],TableFA2132[Program],TableFA2132[[#This Row],[Program]])</f>
        <v>4</v>
      </c>
      <c r="L27" s="10">
        <f>COUNTIFS(TableFA2132[Project],TableFA2132[[#This Row],[Project]])</f>
        <v>4</v>
      </c>
      <c r="M27" s="3" t="s">
        <v>35</v>
      </c>
      <c r="N27" s="3"/>
      <c r="O27" s="3"/>
      <c r="P27" s="3" t="s">
        <v>36</v>
      </c>
      <c r="Q27" s="3" t="s">
        <v>36</v>
      </c>
      <c r="R27" s="3" t="s">
        <v>36</v>
      </c>
      <c r="S27" s="3" t="s">
        <v>36</v>
      </c>
      <c r="T27" s="3" t="s">
        <v>36</v>
      </c>
      <c r="U27" s="3" t="s">
        <v>36</v>
      </c>
      <c r="V27" s="3" t="s">
        <v>36</v>
      </c>
      <c r="W27" s="3" t="s">
        <v>36</v>
      </c>
      <c r="X27" s="21" t="s">
        <v>36</v>
      </c>
      <c r="Y27" s="3" t="s">
        <v>36</v>
      </c>
      <c r="Z27" s="3" t="s">
        <v>36</v>
      </c>
      <c r="AA27" s="3" t="s">
        <v>36</v>
      </c>
      <c r="AB27" s="3" t="s">
        <v>36</v>
      </c>
      <c r="AC27" s="3" t="s">
        <v>36</v>
      </c>
    </row>
    <row r="28" spans="1:29" x14ac:dyDescent="0.2">
      <c r="A28" t="s">
        <v>93</v>
      </c>
      <c r="B28" t="s">
        <v>94</v>
      </c>
      <c r="C28" t="s">
        <v>31</v>
      </c>
      <c r="D28" t="s">
        <v>32</v>
      </c>
      <c r="E28" t="s">
        <v>33</v>
      </c>
      <c r="F28" s="1" t="s">
        <v>92</v>
      </c>
      <c r="G28" s="1" t="str">
        <f>_xlfn.XLOOKUP(TableFA2132[[#This Row],[Project]],Projects[Project],Projects[Full Name],"")</f>
        <v>Luis Delgado</v>
      </c>
      <c r="H28" s="1" t="str">
        <f>_xlfn.XLOOKUP(TableFA2132[[#This Row],[Project]],Projects[Project],Projects[Work Email (no gmail/hotmail/etc.)],"")</f>
        <v>ldelg093@fiu.edu</v>
      </c>
      <c r="I28" s="1" t="str">
        <f>_xlfn.XLOOKUP(TableFA2132[[#This Row],[Project]],Projects[Project],Projects[Affiliation (Company/University/Place of Work)],"")</f>
        <v>Florida International University</v>
      </c>
      <c r="J28" s="1" t="str">
        <f>_xlfn.XLOOKUP(TableFA2132[[#This Row],[Project]],Projects[Project],Projects[Job Title],"")</f>
        <v>Capstone 2 Student</v>
      </c>
      <c r="K28" s="10">
        <f>COUNTIFS(TableFA2132[Project],TableFA2132[[#This Row],[Project]],TableFA2132[Program],TableFA2132[[#This Row],[Program]])</f>
        <v>4</v>
      </c>
      <c r="L28" s="10">
        <f>COUNTIFS(TableFA2132[Project],TableFA2132[[#This Row],[Project]])</f>
        <v>4</v>
      </c>
      <c r="P28" t="s">
        <v>36</v>
      </c>
      <c r="Q28" t="s">
        <v>36</v>
      </c>
      <c r="R28" t="s">
        <v>36</v>
      </c>
      <c r="S28" t="s">
        <v>36</v>
      </c>
      <c r="T28" t="s">
        <v>36</v>
      </c>
      <c r="U28" t="s">
        <v>36</v>
      </c>
      <c r="V28" t="s">
        <v>36</v>
      </c>
      <c r="W28" t="s">
        <v>36</v>
      </c>
      <c r="X28" s="5" t="s">
        <v>36</v>
      </c>
      <c r="Y28" t="s">
        <v>36</v>
      </c>
      <c r="Z28" t="s">
        <v>36</v>
      </c>
      <c r="AA28" t="s">
        <v>36</v>
      </c>
      <c r="AB28" t="s">
        <v>36</v>
      </c>
      <c r="AC28" t="s">
        <v>36</v>
      </c>
    </row>
    <row r="29" spans="1:29" x14ac:dyDescent="0.2">
      <c r="A29" t="s">
        <v>95</v>
      </c>
      <c r="B29" t="s">
        <v>96</v>
      </c>
      <c r="C29" t="s">
        <v>31</v>
      </c>
      <c r="D29" t="s">
        <v>32</v>
      </c>
      <c r="E29" t="s">
        <v>33</v>
      </c>
      <c r="F29" s="1" t="s">
        <v>92</v>
      </c>
      <c r="G29" s="1" t="str">
        <f>_xlfn.XLOOKUP(TableFA2132[[#This Row],[Project]],Projects[Project],Projects[Full Name],"")</f>
        <v>Luis Delgado</v>
      </c>
      <c r="H29" s="1" t="str">
        <f>_xlfn.XLOOKUP(TableFA2132[[#This Row],[Project]],Projects[Project],Projects[Work Email (no gmail/hotmail/etc.)],"")</f>
        <v>ldelg093@fiu.edu</v>
      </c>
      <c r="I29" s="1" t="str">
        <f>_xlfn.XLOOKUP(TableFA2132[[#This Row],[Project]],Projects[Project],Projects[Affiliation (Company/University/Place of Work)],"")</f>
        <v>Florida International University</v>
      </c>
      <c r="J29" s="1" t="str">
        <f>_xlfn.XLOOKUP(TableFA2132[[#This Row],[Project]],Projects[Project],Projects[Job Title],"")</f>
        <v>Capstone 2 Student</v>
      </c>
      <c r="K29" s="10">
        <f>COUNTIFS(TableFA2132[Project],TableFA2132[[#This Row],[Project]],TableFA2132[Program],TableFA2132[[#This Row],[Program]])</f>
        <v>4</v>
      </c>
      <c r="L29" s="10">
        <f>COUNTIFS(TableFA2132[Project],TableFA2132[[#This Row],[Project]])</f>
        <v>4</v>
      </c>
      <c r="P29" t="s">
        <v>36</v>
      </c>
      <c r="Q29" t="s">
        <v>36</v>
      </c>
      <c r="R29" t="s">
        <v>36</v>
      </c>
      <c r="S29" t="s">
        <v>36</v>
      </c>
      <c r="T29" t="s">
        <v>36</v>
      </c>
      <c r="U29" t="s">
        <v>36</v>
      </c>
      <c r="V29" t="s">
        <v>36</v>
      </c>
      <c r="W29" t="s">
        <v>36</v>
      </c>
      <c r="X29" s="5" t="s">
        <v>36</v>
      </c>
      <c r="Y29" t="s">
        <v>36</v>
      </c>
      <c r="Z29" t="s">
        <v>36</v>
      </c>
      <c r="AA29" t="s">
        <v>36</v>
      </c>
      <c r="AB29" t="s">
        <v>36</v>
      </c>
      <c r="AC29" t="s">
        <v>36</v>
      </c>
    </row>
    <row r="30" spans="1:29" x14ac:dyDescent="0.2">
      <c r="A30" s="29" t="s">
        <v>97</v>
      </c>
      <c r="B30" t="s">
        <v>98</v>
      </c>
      <c r="C30" t="s">
        <v>31</v>
      </c>
      <c r="D30" t="s">
        <v>32</v>
      </c>
      <c r="E30" t="s">
        <v>33</v>
      </c>
      <c r="F30" s="1" t="s">
        <v>92</v>
      </c>
      <c r="G30" s="1" t="str">
        <f>_xlfn.XLOOKUP(TableFA2132[[#This Row],[Project]],Projects[Project],Projects[Full Name],"")</f>
        <v>Luis Delgado</v>
      </c>
      <c r="H30" s="1" t="str">
        <f>_xlfn.XLOOKUP(TableFA2132[[#This Row],[Project]],Projects[Project],Projects[Work Email (no gmail/hotmail/etc.)],"")</f>
        <v>ldelg093@fiu.edu</v>
      </c>
      <c r="I30" s="1" t="str">
        <f>_xlfn.XLOOKUP(TableFA2132[[#This Row],[Project]],Projects[Project],Projects[Affiliation (Company/University/Place of Work)],"")</f>
        <v>Florida International University</v>
      </c>
      <c r="J30" s="1" t="str">
        <f>_xlfn.XLOOKUP(TableFA2132[[#This Row],[Project]],Projects[Project],Projects[Job Title],"")</f>
        <v>Capstone 2 Student</v>
      </c>
      <c r="K30" s="1">
        <f>COUNTIFS(TableFA2132[Project],TableFA2132[[#This Row],[Project]],TableFA2132[Program],TableFA2132[[#This Row],[Program]])</f>
        <v>4</v>
      </c>
      <c r="L30" s="1">
        <f>COUNTIFS(TableFA2132[Project],TableFA2132[[#This Row],[Project]])</f>
        <v>4</v>
      </c>
      <c r="P30" t="s">
        <v>36</v>
      </c>
      <c r="Q30" t="s">
        <v>36</v>
      </c>
      <c r="R30" t="s">
        <v>36</v>
      </c>
      <c r="S30" t="s">
        <v>36</v>
      </c>
      <c r="T30" t="s">
        <v>36</v>
      </c>
      <c r="U30" t="s">
        <v>36</v>
      </c>
      <c r="V30" t="s">
        <v>36</v>
      </c>
      <c r="W30" t="s">
        <v>36</v>
      </c>
      <c r="X30" s="5" t="s">
        <v>36</v>
      </c>
      <c r="Y30" t="s">
        <v>36</v>
      </c>
      <c r="Z30" t="s">
        <v>36</v>
      </c>
      <c r="AA30" t="s">
        <v>36</v>
      </c>
      <c r="AB30" t="s">
        <v>36</v>
      </c>
      <c r="AC30" t="s">
        <v>36</v>
      </c>
    </row>
    <row r="31" spans="1:29" x14ac:dyDescent="0.2">
      <c r="A31" s="3" t="s">
        <v>99</v>
      </c>
      <c r="B31" s="3" t="s">
        <v>100</v>
      </c>
      <c r="C31" s="3" t="s">
        <v>31</v>
      </c>
      <c r="D31" s="3" t="s">
        <v>32</v>
      </c>
      <c r="E31" t="s">
        <v>33</v>
      </c>
      <c r="F31" s="10" t="s">
        <v>101</v>
      </c>
      <c r="G31" s="1" t="str">
        <f>_xlfn.XLOOKUP(TableFA2132[[#This Row],[Project]],Projects[Project],Projects[Full Name],"")</f>
        <v>Baha Ali</v>
      </c>
      <c r="H31" s="1" t="str">
        <f>_xlfn.XLOOKUP(TableFA2132[[#This Row],[Project]],Projects[Project],Projects[Work Email (no gmail/hotmail/etc.)],"")</f>
        <v>bali011@fiu.edu</v>
      </c>
      <c r="I31" s="1" t="str">
        <f>_xlfn.XLOOKUP(TableFA2132[[#This Row],[Project]],Projects[Project],Projects[Affiliation (Company/University/Place of Work)],"")</f>
        <v>Florida International University</v>
      </c>
      <c r="J31" s="1" t="str">
        <f>_xlfn.XLOOKUP(TableFA2132[[#This Row],[Project]],Projects[Project],Projects[Job Title],"")</f>
        <v>Capstone 2 Student</v>
      </c>
      <c r="K31" s="10">
        <f>COUNTIFS(TableFA2132[Project],TableFA2132[[#This Row],[Project]],TableFA2132[Program],TableFA2132[[#This Row],[Program]])</f>
        <v>5</v>
      </c>
      <c r="L31" s="10">
        <f>COUNTIFS(TableFA2132[Project],TableFA2132[[#This Row],[Project]])</f>
        <v>5</v>
      </c>
      <c r="M31" s="3" t="s">
        <v>35</v>
      </c>
      <c r="N31" s="3"/>
      <c r="O31" s="3"/>
      <c r="P31" s="3" t="s">
        <v>36</v>
      </c>
      <c r="Q31" s="3" t="s">
        <v>36</v>
      </c>
      <c r="R31" s="3" t="s">
        <v>36</v>
      </c>
      <c r="S31" s="3" t="s">
        <v>36</v>
      </c>
      <c r="T31" s="3" t="s">
        <v>36</v>
      </c>
      <c r="U31" s="3" t="s">
        <v>36</v>
      </c>
      <c r="V31" s="3" t="s">
        <v>36</v>
      </c>
      <c r="W31" s="3" t="s">
        <v>36</v>
      </c>
      <c r="X31" s="3" t="s">
        <v>36</v>
      </c>
      <c r="Y31" s="3" t="s">
        <v>36</v>
      </c>
      <c r="Z31" s="3" t="s">
        <v>36</v>
      </c>
      <c r="AA31" s="3" t="s">
        <v>36</v>
      </c>
      <c r="AB31" t="s">
        <v>36</v>
      </c>
      <c r="AC31" t="s">
        <v>36</v>
      </c>
    </row>
    <row r="32" spans="1:29" x14ac:dyDescent="0.2">
      <c r="A32" t="s">
        <v>102</v>
      </c>
      <c r="B32" t="s">
        <v>103</v>
      </c>
      <c r="C32" t="s">
        <v>31</v>
      </c>
      <c r="D32" t="s">
        <v>32</v>
      </c>
      <c r="E32" t="s">
        <v>33</v>
      </c>
      <c r="F32" s="1" t="s">
        <v>101</v>
      </c>
      <c r="G32" s="1" t="str">
        <f>_xlfn.XLOOKUP(TableFA2132[[#This Row],[Project]],Projects[Project],Projects[Full Name],"")</f>
        <v>Baha Ali</v>
      </c>
      <c r="H32" s="1" t="str">
        <f>_xlfn.XLOOKUP(TableFA2132[[#This Row],[Project]],Projects[Project],Projects[Work Email (no gmail/hotmail/etc.)],"")</f>
        <v>bali011@fiu.edu</v>
      </c>
      <c r="I32" s="1" t="str">
        <f>_xlfn.XLOOKUP(TableFA2132[[#This Row],[Project]],Projects[Project],Projects[Affiliation (Company/University/Place of Work)],"")</f>
        <v>Florida International University</v>
      </c>
      <c r="J32" s="1" t="str">
        <f>_xlfn.XLOOKUP(TableFA2132[[#This Row],[Project]],Projects[Project],Projects[Job Title],"")</f>
        <v>Capstone 2 Student</v>
      </c>
      <c r="K32" s="10">
        <f>COUNTIFS(TableFA2132[Project],TableFA2132[[#This Row],[Project]],TableFA2132[Program],TableFA2132[[#This Row],[Program]])</f>
        <v>5</v>
      </c>
      <c r="L32" s="10">
        <f>COUNTIFS(TableFA2132[Project],TableFA2132[[#This Row],[Project]])</f>
        <v>5</v>
      </c>
      <c r="P32" t="s">
        <v>36</v>
      </c>
      <c r="Q32" t="s">
        <v>36</v>
      </c>
      <c r="R32" s="3" t="s">
        <v>36</v>
      </c>
      <c r="S32" s="3" t="s">
        <v>36</v>
      </c>
      <c r="T32" s="3" t="s">
        <v>36</v>
      </c>
      <c r="U32" s="3" t="s">
        <v>36</v>
      </c>
      <c r="V32" s="3" t="s">
        <v>36</v>
      </c>
      <c r="W32" s="3" t="s">
        <v>36</v>
      </c>
      <c r="X32" s="3" t="s">
        <v>36</v>
      </c>
      <c r="Y32" s="3" t="s">
        <v>36</v>
      </c>
      <c r="Z32" s="3" t="s">
        <v>36</v>
      </c>
      <c r="AA32" s="3" t="s">
        <v>36</v>
      </c>
      <c r="AB32" s="3" t="s">
        <v>36</v>
      </c>
      <c r="AC32" s="3" t="s">
        <v>36</v>
      </c>
    </row>
    <row r="33" spans="1:29" x14ac:dyDescent="0.2">
      <c r="A33" t="s">
        <v>104</v>
      </c>
      <c r="B33" t="s">
        <v>105</v>
      </c>
      <c r="C33" t="s">
        <v>31</v>
      </c>
      <c r="D33" t="s">
        <v>32</v>
      </c>
      <c r="E33" t="s">
        <v>33</v>
      </c>
      <c r="F33" s="26" t="s">
        <v>101</v>
      </c>
      <c r="G33" s="1" t="str">
        <f>_xlfn.XLOOKUP(TableFA2132[[#This Row],[Project]],Projects[Project],Projects[Full Name],"")</f>
        <v>Baha Ali</v>
      </c>
      <c r="H33" s="1" t="str">
        <f>_xlfn.XLOOKUP(TableFA2132[[#This Row],[Project]],Projects[Project],Projects[Work Email (no gmail/hotmail/etc.)],"")</f>
        <v>bali011@fiu.edu</v>
      </c>
      <c r="I33" s="1" t="str">
        <f>_xlfn.XLOOKUP(TableFA2132[[#This Row],[Project]],Projects[Project],Projects[Affiliation (Company/University/Place of Work)],"")</f>
        <v>Florida International University</v>
      </c>
      <c r="J33" s="1" t="str">
        <f>_xlfn.XLOOKUP(TableFA2132[[#This Row],[Project]],Projects[Project],Projects[Job Title],"")</f>
        <v>Capstone 2 Student</v>
      </c>
      <c r="K33" s="10">
        <f>COUNTIFS(TableFA2132[Project],TableFA2132[[#This Row],[Project]],TableFA2132[Program],TableFA2132[[#This Row],[Program]])</f>
        <v>5</v>
      </c>
      <c r="L33" s="10">
        <f>COUNTIFS(TableFA2132[Project],TableFA2132[[#This Row],[Project]])</f>
        <v>5</v>
      </c>
      <c r="P33" t="s">
        <v>36</v>
      </c>
      <c r="Q33" t="s">
        <v>36</v>
      </c>
      <c r="R33" s="3" t="s">
        <v>36</v>
      </c>
      <c r="S33" s="3" t="s">
        <v>36</v>
      </c>
      <c r="T33" s="3" t="s">
        <v>36</v>
      </c>
      <c r="U33" s="3" t="s">
        <v>36</v>
      </c>
      <c r="V33" s="3" t="s">
        <v>36</v>
      </c>
      <c r="W33" s="3" t="s">
        <v>36</v>
      </c>
      <c r="X33" s="3" t="s">
        <v>36</v>
      </c>
      <c r="Y33" s="3" t="s">
        <v>36</v>
      </c>
      <c r="Z33" s="3" t="s">
        <v>36</v>
      </c>
      <c r="AA33" s="3" t="s">
        <v>36</v>
      </c>
      <c r="AB33" s="3" t="s">
        <v>36</v>
      </c>
      <c r="AC33" s="3" t="s">
        <v>36</v>
      </c>
    </row>
    <row r="34" spans="1:29" x14ac:dyDescent="0.2">
      <c r="A34" t="s">
        <v>106</v>
      </c>
      <c r="B34" t="s">
        <v>107</v>
      </c>
      <c r="C34" t="s">
        <v>31</v>
      </c>
      <c r="D34" t="s">
        <v>32</v>
      </c>
      <c r="E34" t="s">
        <v>33</v>
      </c>
      <c r="F34" s="1" t="s">
        <v>101</v>
      </c>
      <c r="G34" s="1" t="str">
        <f>_xlfn.XLOOKUP(TableFA2132[[#This Row],[Project]],Projects[Project],Projects[Full Name],"")</f>
        <v>Baha Ali</v>
      </c>
      <c r="H34" s="1" t="str">
        <f>_xlfn.XLOOKUP(TableFA2132[[#This Row],[Project]],Projects[Project],Projects[Work Email (no gmail/hotmail/etc.)],"")</f>
        <v>bali011@fiu.edu</v>
      </c>
      <c r="I34" s="1" t="str">
        <f>_xlfn.XLOOKUP(TableFA2132[[#This Row],[Project]],Projects[Project],Projects[Affiliation (Company/University/Place of Work)],"")</f>
        <v>Florida International University</v>
      </c>
      <c r="J34" s="1" t="str">
        <f>_xlfn.XLOOKUP(TableFA2132[[#This Row],[Project]],Projects[Project],Projects[Job Title],"")</f>
        <v>Capstone 2 Student</v>
      </c>
      <c r="K34" s="10">
        <f>COUNTIFS(TableFA2132[Project],TableFA2132[[#This Row],[Project]],TableFA2132[Program],TableFA2132[[#This Row],[Program]])</f>
        <v>5</v>
      </c>
      <c r="L34" s="10">
        <f>COUNTIFS(TableFA2132[Project],TableFA2132[[#This Row],[Project]])</f>
        <v>5</v>
      </c>
      <c r="P34" t="s">
        <v>36</v>
      </c>
      <c r="Q34" t="s">
        <v>36</v>
      </c>
      <c r="R34" s="3" t="s">
        <v>36</v>
      </c>
      <c r="S34" s="3" t="s">
        <v>36</v>
      </c>
      <c r="T34" s="3" t="s">
        <v>36</v>
      </c>
      <c r="U34" s="3" t="s">
        <v>36</v>
      </c>
      <c r="V34" s="3" t="s">
        <v>36</v>
      </c>
      <c r="W34" s="3" t="s">
        <v>36</v>
      </c>
      <c r="X34" s="3" t="s">
        <v>36</v>
      </c>
      <c r="Y34" s="3" t="s">
        <v>36</v>
      </c>
      <c r="Z34" s="3" t="s">
        <v>36</v>
      </c>
      <c r="AA34" s="3" t="s">
        <v>36</v>
      </c>
      <c r="AB34" s="3" t="s">
        <v>36</v>
      </c>
      <c r="AC34" s="3" t="s">
        <v>36</v>
      </c>
    </row>
    <row r="35" spans="1:29" s="3" customFormat="1" x14ac:dyDescent="0.2">
      <c r="A35" t="s">
        <v>108</v>
      </c>
      <c r="B35" t="s">
        <v>109</v>
      </c>
      <c r="C35" t="s">
        <v>31</v>
      </c>
      <c r="D35" s="1" t="s">
        <v>110</v>
      </c>
      <c r="E35" t="s">
        <v>33</v>
      </c>
      <c r="F35" s="1" t="s">
        <v>101</v>
      </c>
      <c r="G35" s="1" t="str">
        <f>_xlfn.XLOOKUP(TableFA2132[[#This Row],[Project]],Projects[Project],Projects[Full Name],"")</f>
        <v>Baha Ali</v>
      </c>
      <c r="H35" s="1" t="str">
        <f>_xlfn.XLOOKUP(TableFA2132[[#This Row],[Project]],Projects[Project],Projects[Work Email (no gmail/hotmail/etc.)],"")</f>
        <v>bali011@fiu.edu</v>
      </c>
      <c r="I35" s="1" t="str">
        <f>_xlfn.XLOOKUP(TableFA2132[[#This Row],[Project]],Projects[Project],Projects[Affiliation (Company/University/Place of Work)],"")</f>
        <v>Florida International University</v>
      </c>
      <c r="J35" s="1" t="str">
        <f>_xlfn.XLOOKUP(TableFA2132[[#This Row],[Project]],Projects[Project],Projects[Job Title],"")</f>
        <v>Capstone 2 Student</v>
      </c>
      <c r="K35" s="10">
        <f>COUNTIFS(TableFA2132[Project],TableFA2132[[#This Row],[Project]],TableFA2132[Program],TableFA2132[[#This Row],[Program]])</f>
        <v>5</v>
      </c>
      <c r="L35" s="10">
        <f>COUNTIFS(TableFA2132[Project],TableFA2132[[#This Row],[Project]])</f>
        <v>5</v>
      </c>
      <c r="M35"/>
      <c r="N35"/>
      <c r="O35"/>
      <c r="P35" t="s">
        <v>36</v>
      </c>
      <c r="Q35" t="s">
        <v>36</v>
      </c>
      <c r="R35" s="3" t="s">
        <v>36</v>
      </c>
      <c r="S35" s="3" t="s">
        <v>36</v>
      </c>
      <c r="T35" t="s">
        <v>36</v>
      </c>
      <c r="U35" t="s">
        <v>36</v>
      </c>
      <c r="V35" t="s">
        <v>36</v>
      </c>
      <c r="W35" t="s">
        <v>36</v>
      </c>
      <c r="X35" t="s">
        <v>36</v>
      </c>
      <c r="Y35" t="s">
        <v>36</v>
      </c>
      <c r="Z35" s="3" t="s">
        <v>36</v>
      </c>
      <c r="AA35" s="3" t="s">
        <v>36</v>
      </c>
      <c r="AB35" s="3" t="s">
        <v>36</v>
      </c>
      <c r="AC35" s="3" t="s">
        <v>36</v>
      </c>
    </row>
    <row r="36" spans="1:29" s="2" customFormat="1" x14ac:dyDescent="0.2">
      <c r="A36" s="3" t="s">
        <v>111</v>
      </c>
      <c r="B36" s="3" t="s">
        <v>112</v>
      </c>
      <c r="C36" s="3" t="s">
        <v>31</v>
      </c>
      <c r="D36" s="3" t="s">
        <v>32</v>
      </c>
      <c r="E36" t="s">
        <v>33</v>
      </c>
      <c r="F36" s="10" t="s">
        <v>113</v>
      </c>
      <c r="G36" s="1" t="str">
        <f>_xlfn.XLOOKUP(TableFA2132[[#This Row],[Project]],Projects[Project],Projects[Full Name],"")</f>
        <v>Jernai Bennett</v>
      </c>
      <c r="H36" s="1" t="str">
        <f>_xlfn.XLOOKUP(TableFA2132[[#This Row],[Project]],Projects[Project],Projects[Work Email (no gmail/hotmail/etc.)],"")</f>
        <v>jbenn058@fiu.edu</v>
      </c>
      <c r="I36" s="1" t="str">
        <f>_xlfn.XLOOKUP(TableFA2132[[#This Row],[Project]],Projects[Project],Projects[Affiliation (Company/University/Place of Work)],"")</f>
        <v>Florida International University</v>
      </c>
      <c r="J36" s="1" t="str">
        <f>_xlfn.XLOOKUP(TableFA2132[[#This Row],[Project]],Projects[Project],Projects[Job Title],"")</f>
        <v>Capstone 2 Student</v>
      </c>
      <c r="K36" s="10">
        <f>COUNTIFS(TableFA2132[Project],TableFA2132[[#This Row],[Project]],TableFA2132[Program],TableFA2132[[#This Row],[Program]])</f>
        <v>5</v>
      </c>
      <c r="L36" s="10">
        <f>COUNTIFS(TableFA2132[Project],TableFA2132[[#This Row],[Project]])</f>
        <v>5</v>
      </c>
      <c r="M36" s="3" t="s">
        <v>35</v>
      </c>
      <c r="N36" s="3"/>
      <c r="O36" s="3"/>
      <c r="P36" s="3" t="s">
        <v>36</v>
      </c>
      <c r="Q36" s="3" t="s">
        <v>36</v>
      </c>
      <c r="R36" s="3" t="s">
        <v>36</v>
      </c>
      <c r="S36" s="3" t="s">
        <v>36</v>
      </c>
      <c r="T36" s="3" t="s">
        <v>36</v>
      </c>
      <c r="U36" s="3" t="s">
        <v>36</v>
      </c>
      <c r="V36" s="3" t="s">
        <v>36</v>
      </c>
      <c r="W36" s="3" t="s">
        <v>36</v>
      </c>
      <c r="X36" s="21" t="s">
        <v>36</v>
      </c>
      <c r="Y36" s="3" t="s">
        <v>36</v>
      </c>
      <c r="Z36" s="3" t="s">
        <v>36</v>
      </c>
      <c r="AA36" s="3" t="s">
        <v>36</v>
      </c>
      <c r="AB36" s="3" t="s">
        <v>36</v>
      </c>
      <c r="AC36" s="3" t="s">
        <v>36</v>
      </c>
    </row>
    <row r="37" spans="1:29" s="3" customFormat="1" x14ac:dyDescent="0.2">
      <c r="A37" t="s">
        <v>114</v>
      </c>
      <c r="B37" t="s">
        <v>115</v>
      </c>
      <c r="C37" t="s">
        <v>31</v>
      </c>
      <c r="D37" t="s">
        <v>32</v>
      </c>
      <c r="E37" t="s">
        <v>33</v>
      </c>
      <c r="F37" s="1" t="s">
        <v>113</v>
      </c>
      <c r="G37" s="1" t="str">
        <f>_xlfn.XLOOKUP(TableFA2132[[#This Row],[Project]],Projects[Project],Projects[Full Name],"")</f>
        <v>Jernai Bennett</v>
      </c>
      <c r="H37" s="1" t="str">
        <f>_xlfn.XLOOKUP(TableFA2132[[#This Row],[Project]],Projects[Project],Projects[Work Email (no gmail/hotmail/etc.)],"")</f>
        <v>jbenn058@fiu.edu</v>
      </c>
      <c r="I37" s="1" t="str">
        <f>_xlfn.XLOOKUP(TableFA2132[[#This Row],[Project]],Projects[Project],Projects[Affiliation (Company/University/Place of Work)],"")</f>
        <v>Florida International University</v>
      </c>
      <c r="J37" s="1" t="str">
        <f>_xlfn.XLOOKUP(TableFA2132[[#This Row],[Project]],Projects[Project],Projects[Job Title],"")</f>
        <v>Capstone 2 Student</v>
      </c>
      <c r="K37" s="10">
        <f>COUNTIFS(TableFA2132[Project],TableFA2132[[#This Row],[Project]],TableFA2132[Program],TableFA2132[[#This Row],[Program]])</f>
        <v>5</v>
      </c>
      <c r="L37" s="10">
        <f>COUNTIFS(TableFA2132[Project],TableFA2132[[#This Row],[Project]])</f>
        <v>5</v>
      </c>
      <c r="M37"/>
      <c r="N37"/>
      <c r="O37"/>
      <c r="P37" t="s">
        <v>36</v>
      </c>
      <c r="Q37" t="s">
        <v>36</v>
      </c>
      <c r="R37" t="s">
        <v>36</v>
      </c>
      <c r="S37" t="s">
        <v>36</v>
      </c>
      <c r="T37" t="s">
        <v>36</v>
      </c>
      <c r="U37" t="s">
        <v>36</v>
      </c>
      <c r="V37" t="s">
        <v>36</v>
      </c>
      <c r="W37" t="s">
        <v>36</v>
      </c>
      <c r="X37" s="5" t="s">
        <v>36</v>
      </c>
      <c r="Y37" t="s">
        <v>36</v>
      </c>
      <c r="Z37" t="s">
        <v>36</v>
      </c>
      <c r="AA37" t="s">
        <v>36</v>
      </c>
      <c r="AB37" t="s">
        <v>36</v>
      </c>
      <c r="AC37" t="s">
        <v>36</v>
      </c>
    </row>
    <row r="38" spans="1:29" x14ac:dyDescent="0.2">
      <c r="A38" t="s">
        <v>116</v>
      </c>
      <c r="B38" t="s">
        <v>117</v>
      </c>
      <c r="C38" t="s">
        <v>31</v>
      </c>
      <c r="D38" t="s">
        <v>32</v>
      </c>
      <c r="E38" t="s">
        <v>33</v>
      </c>
      <c r="F38" s="1" t="s">
        <v>113</v>
      </c>
      <c r="G38" s="1" t="str">
        <f>_xlfn.XLOOKUP(TableFA2132[[#This Row],[Project]],Projects[Project],Projects[Full Name],"")</f>
        <v>Jernai Bennett</v>
      </c>
      <c r="H38" s="1" t="str">
        <f>_xlfn.XLOOKUP(TableFA2132[[#This Row],[Project]],Projects[Project],Projects[Work Email (no gmail/hotmail/etc.)],"")</f>
        <v>jbenn058@fiu.edu</v>
      </c>
      <c r="I38" s="1" t="str">
        <f>_xlfn.XLOOKUP(TableFA2132[[#This Row],[Project]],Projects[Project],Projects[Affiliation (Company/University/Place of Work)],"")</f>
        <v>Florida International University</v>
      </c>
      <c r="J38" s="1" t="str">
        <f>_xlfn.XLOOKUP(TableFA2132[[#This Row],[Project]],Projects[Project],Projects[Job Title],"")</f>
        <v>Capstone 2 Student</v>
      </c>
      <c r="K38" s="10">
        <f>COUNTIFS(TableFA2132[Project],TableFA2132[[#This Row],[Project]],TableFA2132[Program],TableFA2132[[#This Row],[Program]])</f>
        <v>5</v>
      </c>
      <c r="L38" s="10">
        <f>COUNTIFS(TableFA2132[Project],TableFA2132[[#This Row],[Project]])</f>
        <v>5</v>
      </c>
      <c r="P38" t="s">
        <v>36</v>
      </c>
      <c r="Q38" t="s">
        <v>36</v>
      </c>
      <c r="R38" t="s">
        <v>36</v>
      </c>
      <c r="S38" t="s">
        <v>36</v>
      </c>
      <c r="T38" t="s">
        <v>36</v>
      </c>
      <c r="U38" t="s">
        <v>36</v>
      </c>
      <c r="V38" t="s">
        <v>36</v>
      </c>
      <c r="W38" t="s">
        <v>36</v>
      </c>
      <c r="X38" s="5" t="s">
        <v>36</v>
      </c>
      <c r="Y38" t="s">
        <v>36</v>
      </c>
      <c r="Z38" t="s">
        <v>36</v>
      </c>
      <c r="AA38" t="s">
        <v>36</v>
      </c>
      <c r="AB38" t="s">
        <v>36</v>
      </c>
      <c r="AC38" t="s">
        <v>36</v>
      </c>
    </row>
    <row r="39" spans="1:29" x14ac:dyDescent="0.2">
      <c r="A39" t="s">
        <v>118</v>
      </c>
      <c r="B39" t="s">
        <v>119</v>
      </c>
      <c r="C39" t="s">
        <v>31</v>
      </c>
      <c r="D39" t="s">
        <v>32</v>
      </c>
      <c r="E39" t="s">
        <v>33</v>
      </c>
      <c r="F39" s="1" t="s">
        <v>113</v>
      </c>
      <c r="G39" s="1" t="str">
        <f>_xlfn.XLOOKUP(TableFA2132[[#This Row],[Project]],Projects[Project],Projects[Full Name],"")</f>
        <v>Jernai Bennett</v>
      </c>
      <c r="H39" s="1" t="str">
        <f>_xlfn.XLOOKUP(TableFA2132[[#This Row],[Project]],Projects[Project],Projects[Work Email (no gmail/hotmail/etc.)],"")</f>
        <v>jbenn058@fiu.edu</v>
      </c>
      <c r="I39" s="1" t="str">
        <f>_xlfn.XLOOKUP(TableFA2132[[#This Row],[Project]],Projects[Project],Projects[Affiliation (Company/University/Place of Work)],"")</f>
        <v>Florida International University</v>
      </c>
      <c r="J39" s="1" t="str">
        <f>_xlfn.XLOOKUP(TableFA2132[[#This Row],[Project]],Projects[Project],Projects[Job Title],"")</f>
        <v>Capstone 2 Student</v>
      </c>
      <c r="K39" s="10">
        <f>COUNTIFS(TableFA2132[Project],TableFA2132[[#This Row],[Project]],TableFA2132[Program],TableFA2132[[#This Row],[Program]])</f>
        <v>5</v>
      </c>
      <c r="L39" s="10">
        <f>COUNTIFS(TableFA2132[Project],TableFA2132[[#This Row],[Project]])</f>
        <v>5</v>
      </c>
      <c r="P39" t="s">
        <v>36</v>
      </c>
      <c r="Q39" t="s">
        <v>36</v>
      </c>
      <c r="R39" t="s">
        <v>36</v>
      </c>
      <c r="S39" t="s">
        <v>36</v>
      </c>
      <c r="T39" t="s">
        <v>36</v>
      </c>
      <c r="U39" t="s">
        <v>36</v>
      </c>
      <c r="V39" t="s">
        <v>36</v>
      </c>
      <c r="W39" t="s">
        <v>36</v>
      </c>
      <c r="X39" s="5" t="s">
        <v>36</v>
      </c>
      <c r="Y39" t="s">
        <v>36</v>
      </c>
      <c r="Z39" t="s">
        <v>36</v>
      </c>
      <c r="AA39" t="s">
        <v>36</v>
      </c>
      <c r="AB39" t="s">
        <v>36</v>
      </c>
      <c r="AC39" t="s">
        <v>36</v>
      </c>
    </row>
    <row r="40" spans="1:29" x14ac:dyDescent="0.2">
      <c r="A40" t="s">
        <v>120</v>
      </c>
      <c r="B40" t="s">
        <v>121</v>
      </c>
      <c r="C40" t="s">
        <v>31</v>
      </c>
      <c r="D40" t="s">
        <v>32</v>
      </c>
      <c r="E40" t="s">
        <v>33</v>
      </c>
      <c r="F40" s="1" t="s">
        <v>113</v>
      </c>
      <c r="G40" s="1" t="str">
        <f>_xlfn.XLOOKUP(TableFA2132[[#This Row],[Project]],Projects[Project],Projects[Full Name],"")</f>
        <v>Jernai Bennett</v>
      </c>
      <c r="H40" s="1" t="str">
        <f>_xlfn.XLOOKUP(TableFA2132[[#This Row],[Project]],Projects[Project],Projects[Work Email (no gmail/hotmail/etc.)],"")</f>
        <v>jbenn058@fiu.edu</v>
      </c>
      <c r="I40" s="1" t="str">
        <f>_xlfn.XLOOKUP(TableFA2132[[#This Row],[Project]],Projects[Project],Projects[Affiliation (Company/University/Place of Work)],"")</f>
        <v>Florida International University</v>
      </c>
      <c r="J40" s="1" t="str">
        <f>_xlfn.XLOOKUP(TableFA2132[[#This Row],[Project]],Projects[Project],Projects[Job Title],"")</f>
        <v>Capstone 2 Student</v>
      </c>
      <c r="K40" s="10">
        <f>COUNTIFS(TableFA2132[Project],TableFA2132[[#This Row],[Project]],TableFA2132[Program],TableFA2132[[#This Row],[Program]])</f>
        <v>5</v>
      </c>
      <c r="L40" s="10">
        <f>COUNTIFS(TableFA2132[Project],TableFA2132[[#This Row],[Project]])</f>
        <v>5</v>
      </c>
      <c r="P40" t="s">
        <v>36</v>
      </c>
      <c r="Q40" t="s">
        <v>36</v>
      </c>
      <c r="R40" t="s">
        <v>36</v>
      </c>
      <c r="S40" t="s">
        <v>36</v>
      </c>
      <c r="T40" t="s">
        <v>36</v>
      </c>
      <c r="U40" t="s">
        <v>36</v>
      </c>
      <c r="V40" t="s">
        <v>36</v>
      </c>
      <c r="W40" t="s">
        <v>36</v>
      </c>
      <c r="X40" s="5" t="s">
        <v>36</v>
      </c>
      <c r="Y40" t="s">
        <v>36</v>
      </c>
      <c r="Z40" t="s">
        <v>36</v>
      </c>
      <c r="AA40" t="s">
        <v>36</v>
      </c>
      <c r="AB40" t="s">
        <v>36</v>
      </c>
      <c r="AC40" t="s">
        <v>36</v>
      </c>
    </row>
    <row r="41" spans="1:29" x14ac:dyDescent="0.2">
      <c r="A41" s="3" t="s">
        <v>122</v>
      </c>
      <c r="B41" s="3" t="s">
        <v>123</v>
      </c>
      <c r="C41" s="3" t="s">
        <v>31</v>
      </c>
      <c r="D41" s="10" t="s">
        <v>110</v>
      </c>
      <c r="E41" s="3" t="s">
        <v>33</v>
      </c>
      <c r="F41" s="10" t="s">
        <v>124</v>
      </c>
      <c r="G41" s="10" t="str">
        <f>_xlfn.XLOOKUP(TableFA2132[[#This Row],[Project]],Projects[Project],Projects[Full Name],"")</f>
        <v>Jin Carballosa</v>
      </c>
      <c r="H41" s="10" t="str">
        <f>_xlfn.XLOOKUP(TableFA2132[[#This Row],[Project]],Projects[Project],Projects[Work Email (no gmail/hotmail/etc.)],"")</f>
        <v>jcarb079@fiu.edu</v>
      </c>
      <c r="I41" s="10" t="str">
        <f>_xlfn.XLOOKUP(TableFA2132[[#This Row],[Project]],Projects[Project],Projects[Affiliation (Company/University/Place of Work)],"")</f>
        <v>Florida International University</v>
      </c>
      <c r="J41" s="10" t="str">
        <f>_xlfn.XLOOKUP(TableFA2132[[#This Row],[Project]],Projects[Project],Projects[Job Title],"")</f>
        <v>Capstone 2 Student</v>
      </c>
      <c r="K41" s="10">
        <f>COUNTIFS(TableFA2132[Project],TableFA2132[[#This Row],[Project]],TableFA2132[Program],TableFA2132[[#This Row],[Program]])</f>
        <v>5</v>
      </c>
      <c r="L41" s="10">
        <f>COUNTIFS(TableFA2132[Project],TableFA2132[[#This Row],[Project]])</f>
        <v>5</v>
      </c>
      <c r="M41" s="3" t="s">
        <v>35</v>
      </c>
      <c r="N41" s="3"/>
      <c r="O41" s="3"/>
      <c r="P41" s="3" t="s">
        <v>36</v>
      </c>
      <c r="Q41" s="3" t="s">
        <v>36</v>
      </c>
      <c r="R41" s="3" t="s">
        <v>36</v>
      </c>
      <c r="S41" s="3" t="s">
        <v>36</v>
      </c>
      <c r="T41" s="3" t="s">
        <v>36</v>
      </c>
      <c r="U41" s="3" t="s">
        <v>36</v>
      </c>
      <c r="V41" s="3" t="s">
        <v>36</v>
      </c>
      <c r="W41" s="3" t="s">
        <v>36</v>
      </c>
      <c r="X41" s="3" t="s">
        <v>36</v>
      </c>
      <c r="Y41" s="3" t="s">
        <v>36</v>
      </c>
      <c r="Z41" t="s">
        <v>36</v>
      </c>
      <c r="AA41" s="3" t="s">
        <v>36</v>
      </c>
      <c r="AB41" s="3" t="s">
        <v>36</v>
      </c>
      <c r="AC41" s="3" t="s">
        <v>36</v>
      </c>
    </row>
    <row r="42" spans="1:29" s="3" customFormat="1" x14ac:dyDescent="0.2">
      <c r="A42" t="s">
        <v>125</v>
      </c>
      <c r="B42" t="s">
        <v>126</v>
      </c>
      <c r="C42" t="s">
        <v>31</v>
      </c>
      <c r="D42" s="1" t="s">
        <v>110</v>
      </c>
      <c r="E42" t="s">
        <v>33</v>
      </c>
      <c r="F42" s="1" t="s">
        <v>124</v>
      </c>
      <c r="G42" s="1" t="str">
        <f>_xlfn.XLOOKUP(TableFA2132[[#This Row],[Project]],Projects[Project],Projects[Full Name],"")</f>
        <v>Jin Carballosa</v>
      </c>
      <c r="H42" s="1" t="str">
        <f>_xlfn.XLOOKUP(TableFA2132[[#This Row],[Project]],Projects[Project],Projects[Work Email (no gmail/hotmail/etc.)],"")</f>
        <v>jcarb079@fiu.edu</v>
      </c>
      <c r="I42" s="1" t="str">
        <f>_xlfn.XLOOKUP(TableFA2132[[#This Row],[Project]],Projects[Project],Projects[Affiliation (Company/University/Place of Work)],"")</f>
        <v>Florida International University</v>
      </c>
      <c r="J42" s="1" t="str">
        <f>_xlfn.XLOOKUP(TableFA2132[[#This Row],[Project]],Projects[Project],Projects[Job Title],"")</f>
        <v>Capstone 2 Student</v>
      </c>
      <c r="K42" s="10">
        <f>COUNTIFS(TableFA2132[Project],TableFA2132[[#This Row],[Project]],TableFA2132[Program],TableFA2132[[#This Row],[Program]])</f>
        <v>5</v>
      </c>
      <c r="L42" s="10">
        <f>COUNTIFS(TableFA2132[Project],TableFA2132[[#This Row],[Project]])</f>
        <v>5</v>
      </c>
      <c r="M42"/>
      <c r="N42"/>
      <c r="O42"/>
      <c r="P42" t="s">
        <v>36</v>
      </c>
      <c r="Q42" t="s">
        <v>36</v>
      </c>
      <c r="R42" t="s">
        <v>36</v>
      </c>
      <c r="S42" t="s">
        <v>36</v>
      </c>
      <c r="T42" t="s">
        <v>36</v>
      </c>
      <c r="U42" t="s">
        <v>36</v>
      </c>
      <c r="V42" t="s">
        <v>36</v>
      </c>
      <c r="W42" t="s">
        <v>36</v>
      </c>
      <c r="X42" t="s">
        <v>36</v>
      </c>
      <c r="Y42" t="s">
        <v>36</v>
      </c>
      <c r="Z42" t="s">
        <v>36</v>
      </c>
      <c r="AA42" t="s">
        <v>36</v>
      </c>
      <c r="AB42" t="s">
        <v>36</v>
      </c>
      <c r="AC42" t="s">
        <v>36</v>
      </c>
    </row>
    <row r="43" spans="1:29" x14ac:dyDescent="0.2">
      <c r="A43" t="s">
        <v>127</v>
      </c>
      <c r="B43" t="s">
        <v>128</v>
      </c>
      <c r="C43" t="s">
        <v>31</v>
      </c>
      <c r="D43" s="1" t="s">
        <v>110</v>
      </c>
      <c r="E43" t="s">
        <v>33</v>
      </c>
      <c r="F43" s="1" t="s">
        <v>124</v>
      </c>
      <c r="G43" s="1" t="str">
        <f>_xlfn.XLOOKUP(TableFA2132[[#This Row],[Project]],Projects[Project],Projects[Full Name],"")</f>
        <v>Jin Carballosa</v>
      </c>
      <c r="H43" s="1" t="str">
        <f>_xlfn.XLOOKUP(TableFA2132[[#This Row],[Project]],Projects[Project],Projects[Work Email (no gmail/hotmail/etc.)],"")</f>
        <v>jcarb079@fiu.edu</v>
      </c>
      <c r="I43" s="1" t="str">
        <f>_xlfn.XLOOKUP(TableFA2132[[#This Row],[Project]],Projects[Project],Projects[Affiliation (Company/University/Place of Work)],"")</f>
        <v>Florida International University</v>
      </c>
      <c r="J43" s="1" t="str">
        <f>_xlfn.XLOOKUP(TableFA2132[[#This Row],[Project]],Projects[Project],Projects[Job Title],"")</f>
        <v>Capstone 2 Student</v>
      </c>
      <c r="K43" s="10">
        <f>COUNTIFS(TableFA2132[Project],TableFA2132[[#This Row],[Project]],TableFA2132[Program],TableFA2132[[#This Row],[Program]])</f>
        <v>5</v>
      </c>
      <c r="L43" s="10">
        <f>COUNTIFS(TableFA2132[Project],TableFA2132[[#This Row],[Project]])</f>
        <v>5</v>
      </c>
      <c r="P43" t="s">
        <v>36</v>
      </c>
      <c r="Q43" t="s">
        <v>36</v>
      </c>
      <c r="R43" t="s">
        <v>36</v>
      </c>
      <c r="S43" t="s">
        <v>36</v>
      </c>
      <c r="T43" t="s">
        <v>36</v>
      </c>
      <c r="U43" t="s">
        <v>36</v>
      </c>
      <c r="V43" t="s">
        <v>36</v>
      </c>
      <c r="W43" t="s">
        <v>36</v>
      </c>
      <c r="X43" t="s">
        <v>36</v>
      </c>
      <c r="Y43" t="s">
        <v>36</v>
      </c>
      <c r="Z43" t="s">
        <v>36</v>
      </c>
      <c r="AA43" t="s">
        <v>36</v>
      </c>
      <c r="AB43" t="s">
        <v>36</v>
      </c>
      <c r="AC43" t="s">
        <v>36</v>
      </c>
    </row>
    <row r="44" spans="1:29" x14ac:dyDescent="0.2">
      <c r="A44" t="s">
        <v>129</v>
      </c>
      <c r="B44" t="s">
        <v>130</v>
      </c>
      <c r="C44" s="1" t="s">
        <v>31</v>
      </c>
      <c r="D44" s="1" t="s">
        <v>110</v>
      </c>
      <c r="E44" t="s">
        <v>33</v>
      </c>
      <c r="F44" s="1" t="s">
        <v>124</v>
      </c>
      <c r="G44" s="1" t="str">
        <f>_xlfn.XLOOKUP(TableFA2132[[#This Row],[Project]],Projects[Project],Projects[Full Name],"")</f>
        <v>Jin Carballosa</v>
      </c>
      <c r="H44" s="1" t="str">
        <f>_xlfn.XLOOKUP(TableFA2132[[#This Row],[Project]],Projects[Project],Projects[Work Email (no gmail/hotmail/etc.)],"")</f>
        <v>jcarb079@fiu.edu</v>
      </c>
      <c r="I44" s="1" t="str">
        <f>_xlfn.XLOOKUP(TableFA2132[[#This Row],[Project]],Projects[Project],Projects[Affiliation (Company/University/Place of Work)],"")</f>
        <v>Florida International University</v>
      </c>
      <c r="J44" s="1" t="str">
        <f>_xlfn.XLOOKUP(TableFA2132[[#This Row],[Project]],Projects[Project],Projects[Job Title],"")</f>
        <v>Capstone 2 Student</v>
      </c>
      <c r="K44" s="10">
        <f>COUNTIFS(TableFA2132[Project],TableFA2132[[#This Row],[Project]],TableFA2132[Program],TableFA2132[[#This Row],[Program]])</f>
        <v>5</v>
      </c>
      <c r="L44" s="10">
        <f>COUNTIFS(TableFA2132[Project],TableFA2132[[#This Row],[Project]])</f>
        <v>5</v>
      </c>
      <c r="P44" t="s">
        <v>36</v>
      </c>
      <c r="Q44" t="s">
        <v>36</v>
      </c>
      <c r="R44" t="s">
        <v>36</v>
      </c>
      <c r="S44" t="s">
        <v>36</v>
      </c>
      <c r="T44" t="s">
        <v>36</v>
      </c>
      <c r="U44" t="s">
        <v>36</v>
      </c>
      <c r="V44" t="s">
        <v>36</v>
      </c>
      <c r="W44" t="s">
        <v>36</v>
      </c>
      <c r="X44" t="s">
        <v>36</v>
      </c>
      <c r="Y44" t="s">
        <v>36</v>
      </c>
      <c r="Z44" t="s">
        <v>36</v>
      </c>
      <c r="AA44" t="s">
        <v>36</v>
      </c>
      <c r="AB44" t="s">
        <v>36</v>
      </c>
      <c r="AC44" t="s">
        <v>36</v>
      </c>
    </row>
    <row r="45" spans="1:29" s="2" customFormat="1" x14ac:dyDescent="0.2">
      <c r="A45" t="s">
        <v>131</v>
      </c>
      <c r="B45" t="s">
        <v>132</v>
      </c>
      <c r="C45" s="1" t="s">
        <v>31</v>
      </c>
      <c r="D45" s="1" t="s">
        <v>110</v>
      </c>
      <c r="E45" t="s">
        <v>33</v>
      </c>
      <c r="F45" s="1" t="s">
        <v>124</v>
      </c>
      <c r="G45" s="1" t="str">
        <f>_xlfn.XLOOKUP(TableFA2132[[#This Row],[Project]],Projects[Project],Projects[Full Name],"")</f>
        <v>Jin Carballosa</v>
      </c>
      <c r="H45" s="1" t="str">
        <f>_xlfn.XLOOKUP(TableFA2132[[#This Row],[Project]],Projects[Project],Projects[Work Email (no gmail/hotmail/etc.)],"")</f>
        <v>jcarb079@fiu.edu</v>
      </c>
      <c r="I45" s="1" t="str">
        <f>_xlfn.XLOOKUP(TableFA2132[[#This Row],[Project]],Projects[Project],Projects[Affiliation (Company/University/Place of Work)],"")</f>
        <v>Florida International University</v>
      </c>
      <c r="J45" s="1" t="str">
        <f>_xlfn.XLOOKUP(TableFA2132[[#This Row],[Project]],Projects[Project],Projects[Job Title],"")</f>
        <v>Capstone 2 Student</v>
      </c>
      <c r="K45" s="10">
        <f>COUNTIFS(TableFA2132[Project],TableFA2132[[#This Row],[Project]],TableFA2132[Program],TableFA2132[[#This Row],[Program]])</f>
        <v>5</v>
      </c>
      <c r="L45" s="10">
        <f>COUNTIFS(TableFA2132[Project],TableFA2132[[#This Row],[Project]])</f>
        <v>5</v>
      </c>
      <c r="M45"/>
      <c r="N45"/>
      <c r="O45"/>
      <c r="P45" t="s">
        <v>36</v>
      </c>
      <c r="Q45" t="s">
        <v>36</v>
      </c>
      <c r="R45" t="s">
        <v>36</v>
      </c>
      <c r="S45" t="s">
        <v>36</v>
      </c>
      <c r="T45" t="s">
        <v>36</v>
      </c>
      <c r="U45" t="s">
        <v>36</v>
      </c>
      <c r="V45" t="s">
        <v>36</v>
      </c>
      <c r="W45" t="s">
        <v>36</v>
      </c>
      <c r="X45" t="s">
        <v>36</v>
      </c>
      <c r="Y45" t="s">
        <v>36</v>
      </c>
      <c r="Z45" t="s">
        <v>36</v>
      </c>
      <c r="AA45" t="s">
        <v>36</v>
      </c>
      <c r="AB45" t="s">
        <v>36</v>
      </c>
      <c r="AC45" t="s">
        <v>36</v>
      </c>
    </row>
    <row r="46" spans="1:29" x14ac:dyDescent="0.2">
      <c r="A46" t="s">
        <v>138</v>
      </c>
      <c r="B46" t="s">
        <v>139</v>
      </c>
      <c r="C46" t="s">
        <v>31</v>
      </c>
      <c r="D46" t="s">
        <v>110</v>
      </c>
      <c r="E46" t="s">
        <v>33</v>
      </c>
      <c r="F46" s="1" t="s">
        <v>135</v>
      </c>
      <c r="G46" s="1" t="str">
        <f>_xlfn.XLOOKUP(TableFA2132[[#This Row],[Project]],Projects[Project],Projects[Full Name],"")</f>
        <v>Daniel Gonzalez</v>
      </c>
      <c r="H46" s="1" t="str">
        <f>_xlfn.XLOOKUP(TableFA2132[[#This Row],[Project]],Projects[Project],Projects[Work Email (no gmail/hotmail/etc.)],"")</f>
        <v>dgonz692@fiu.edu</v>
      </c>
      <c r="I46" s="1" t="str">
        <f>_xlfn.XLOOKUP(TableFA2132[[#This Row],[Project]],Projects[Project],Projects[Affiliation (Company/University/Place of Work)],"")</f>
        <v>Florida International University</v>
      </c>
      <c r="J46" s="1" t="str">
        <f>_xlfn.XLOOKUP(TableFA2132[[#This Row],[Project]],Projects[Project],Projects[Job Title],"")</f>
        <v>Capstone 2 Student</v>
      </c>
      <c r="K46" s="10">
        <f>COUNTIFS(TableFA2132[Project],TableFA2132[[#This Row],[Project]],TableFA2132[Program],TableFA2132[[#This Row],[Program]])</f>
        <v>5</v>
      </c>
      <c r="L46" s="10">
        <f>COUNTIFS(TableFA2132[Project],TableFA2132[[#This Row],[Project]])</f>
        <v>5</v>
      </c>
      <c r="M46" t="s">
        <v>35</v>
      </c>
      <c r="P46" t="s">
        <v>36</v>
      </c>
      <c r="Q46" t="s">
        <v>36</v>
      </c>
      <c r="R46" t="s">
        <v>36</v>
      </c>
      <c r="S46" t="s">
        <v>36</v>
      </c>
      <c r="T46" t="s">
        <v>36</v>
      </c>
      <c r="U46" t="s">
        <v>36</v>
      </c>
      <c r="V46" t="s">
        <v>36</v>
      </c>
      <c r="W46" t="s">
        <v>36</v>
      </c>
      <c r="X46" s="5" t="s">
        <v>36</v>
      </c>
      <c r="Y46" t="s">
        <v>36</v>
      </c>
      <c r="Z46" t="s">
        <v>36</v>
      </c>
      <c r="AA46" t="s">
        <v>36</v>
      </c>
      <c r="AB46" t="s">
        <v>36</v>
      </c>
    </row>
    <row r="47" spans="1:29" x14ac:dyDescent="0.2">
      <c r="A47" t="s">
        <v>133</v>
      </c>
      <c r="B47" t="s">
        <v>134</v>
      </c>
      <c r="C47" t="s">
        <v>31</v>
      </c>
      <c r="D47" t="s">
        <v>110</v>
      </c>
      <c r="E47" t="s">
        <v>33</v>
      </c>
      <c r="F47" s="1" t="s">
        <v>135</v>
      </c>
      <c r="G47" s="1" t="str">
        <f>_xlfn.XLOOKUP(TableFA2132[[#This Row],[Project]],Projects[Project],Projects[Full Name],"")</f>
        <v>Daniel Gonzalez</v>
      </c>
      <c r="H47" s="1" t="str">
        <f>_xlfn.XLOOKUP(TableFA2132[[#This Row],[Project]],Projects[Project],Projects[Work Email (no gmail/hotmail/etc.)],"")</f>
        <v>dgonz692@fiu.edu</v>
      </c>
      <c r="I47" s="1" t="str">
        <f>_xlfn.XLOOKUP(TableFA2132[[#This Row],[Project]],Projects[Project],Projects[Affiliation (Company/University/Place of Work)],"")</f>
        <v>Florida International University</v>
      </c>
      <c r="J47" s="1" t="str">
        <f>_xlfn.XLOOKUP(TableFA2132[[#This Row],[Project]],Projects[Project],Projects[Job Title],"")</f>
        <v>Capstone 2 Student</v>
      </c>
      <c r="K47" s="10">
        <f>COUNTIFS(TableFA2132[Project],TableFA2132[[#This Row],[Project]],TableFA2132[Program],TableFA2132[[#This Row],[Program]])</f>
        <v>5</v>
      </c>
      <c r="L47" s="10">
        <f>COUNTIFS(TableFA2132[Project],TableFA2132[[#This Row],[Project]])</f>
        <v>5</v>
      </c>
      <c r="P47" t="s">
        <v>36</v>
      </c>
      <c r="Q47" t="s">
        <v>36</v>
      </c>
      <c r="R47" t="s">
        <v>36</v>
      </c>
      <c r="S47" t="s">
        <v>36</v>
      </c>
      <c r="T47" t="s">
        <v>36</v>
      </c>
      <c r="U47" t="s">
        <v>36</v>
      </c>
      <c r="V47" t="s">
        <v>36</v>
      </c>
      <c r="W47" t="s">
        <v>36</v>
      </c>
      <c r="X47" s="5" t="s">
        <v>36</v>
      </c>
      <c r="Y47" t="s">
        <v>36</v>
      </c>
      <c r="Z47" t="s">
        <v>36</v>
      </c>
      <c r="AA47" t="s">
        <v>36</v>
      </c>
      <c r="AB47" t="s">
        <v>36</v>
      </c>
    </row>
    <row r="48" spans="1:29" s="2" customFormat="1" x14ac:dyDescent="0.2">
      <c r="A48" t="s">
        <v>136</v>
      </c>
      <c r="B48" t="s">
        <v>137</v>
      </c>
      <c r="C48" t="s">
        <v>31</v>
      </c>
      <c r="D48" t="s">
        <v>110</v>
      </c>
      <c r="E48" t="s">
        <v>33</v>
      </c>
      <c r="F48" s="1" t="s">
        <v>135</v>
      </c>
      <c r="G48" s="1" t="str">
        <f>_xlfn.XLOOKUP(TableFA2132[[#This Row],[Project]],Projects[Project],Projects[Full Name],"")</f>
        <v>Daniel Gonzalez</v>
      </c>
      <c r="H48" s="1" t="str">
        <f>_xlfn.XLOOKUP(TableFA2132[[#This Row],[Project]],Projects[Project],Projects[Work Email (no gmail/hotmail/etc.)],"")</f>
        <v>dgonz692@fiu.edu</v>
      </c>
      <c r="I48" s="1" t="str">
        <f>_xlfn.XLOOKUP(TableFA2132[[#This Row],[Project]],Projects[Project],Projects[Affiliation (Company/University/Place of Work)],"")</f>
        <v>Florida International University</v>
      </c>
      <c r="J48" s="1" t="str">
        <f>_xlfn.XLOOKUP(TableFA2132[[#This Row],[Project]],Projects[Project],Projects[Job Title],"")</f>
        <v>Capstone 2 Student</v>
      </c>
      <c r="K48" s="10">
        <f>COUNTIFS(TableFA2132[Project],TableFA2132[[#This Row],[Project]],TableFA2132[Program],TableFA2132[[#This Row],[Program]])</f>
        <v>5</v>
      </c>
      <c r="L48" s="10">
        <f>COUNTIFS(TableFA2132[Project],TableFA2132[[#This Row],[Project]])</f>
        <v>5</v>
      </c>
      <c r="M48"/>
      <c r="N48"/>
      <c r="O48"/>
      <c r="P48" t="s">
        <v>36</v>
      </c>
      <c r="Q48" t="s">
        <v>36</v>
      </c>
      <c r="R48" t="s">
        <v>36</v>
      </c>
      <c r="S48" t="s">
        <v>36</v>
      </c>
      <c r="T48" t="s">
        <v>36</v>
      </c>
      <c r="U48" t="s">
        <v>36</v>
      </c>
      <c r="V48" t="s">
        <v>36</v>
      </c>
      <c r="W48" t="s">
        <v>36</v>
      </c>
      <c r="X48" s="5" t="s">
        <v>36</v>
      </c>
      <c r="Y48" t="s">
        <v>36</v>
      </c>
      <c r="Z48" t="s">
        <v>36</v>
      </c>
      <c r="AA48" t="s">
        <v>36</v>
      </c>
      <c r="AB48" t="s">
        <v>36</v>
      </c>
      <c r="AC48"/>
    </row>
    <row r="49" spans="1:29" s="2" customFormat="1" x14ac:dyDescent="0.2">
      <c r="A49" t="s">
        <v>140</v>
      </c>
      <c r="B49" t="s">
        <v>141</v>
      </c>
      <c r="C49" t="s">
        <v>31</v>
      </c>
      <c r="D49" t="s">
        <v>110</v>
      </c>
      <c r="E49" t="s">
        <v>33</v>
      </c>
      <c r="F49" s="1" t="s">
        <v>135</v>
      </c>
      <c r="G49" s="1" t="str">
        <f>_xlfn.XLOOKUP(TableFA2132[[#This Row],[Project]],Projects[Project],Projects[Full Name],"")</f>
        <v>Daniel Gonzalez</v>
      </c>
      <c r="H49" s="1" t="str">
        <f>_xlfn.XLOOKUP(TableFA2132[[#This Row],[Project]],Projects[Project],Projects[Work Email (no gmail/hotmail/etc.)],"")</f>
        <v>dgonz692@fiu.edu</v>
      </c>
      <c r="I49" s="1" t="str">
        <f>_xlfn.XLOOKUP(TableFA2132[[#This Row],[Project]],Projects[Project],Projects[Affiliation (Company/University/Place of Work)],"")</f>
        <v>Florida International University</v>
      </c>
      <c r="J49" s="1" t="str">
        <f>_xlfn.XLOOKUP(TableFA2132[[#This Row],[Project]],Projects[Project],Projects[Job Title],"")</f>
        <v>Capstone 2 Student</v>
      </c>
      <c r="K49" s="10">
        <f>COUNTIFS(TableFA2132[Project],TableFA2132[[#This Row],[Project]],TableFA2132[Program],TableFA2132[[#This Row],[Program]])</f>
        <v>5</v>
      </c>
      <c r="L49" s="10">
        <f>COUNTIFS(TableFA2132[Project],TableFA2132[[#This Row],[Project]])</f>
        <v>5</v>
      </c>
      <c r="M49"/>
      <c r="N49"/>
      <c r="O49"/>
      <c r="P49" t="s">
        <v>36</v>
      </c>
      <c r="Q49" t="s">
        <v>36</v>
      </c>
      <c r="R49" t="s">
        <v>36</v>
      </c>
      <c r="S49" t="s">
        <v>36</v>
      </c>
      <c r="T49" t="s">
        <v>36</v>
      </c>
      <c r="U49" t="s">
        <v>36</v>
      </c>
      <c r="V49" t="s">
        <v>36</v>
      </c>
      <c r="W49" t="s">
        <v>36</v>
      </c>
      <c r="X49" s="5" t="s">
        <v>36</v>
      </c>
      <c r="Y49" t="s">
        <v>36</v>
      </c>
      <c r="Z49" t="s">
        <v>36</v>
      </c>
      <c r="AA49" t="s">
        <v>36</v>
      </c>
      <c r="AB49" t="s">
        <v>36</v>
      </c>
      <c r="AC49"/>
    </row>
    <row r="50" spans="1:29" x14ac:dyDescent="0.2">
      <c r="A50" t="s">
        <v>142</v>
      </c>
      <c r="B50" t="s">
        <v>109</v>
      </c>
      <c r="C50" t="s">
        <v>31</v>
      </c>
      <c r="D50" t="s">
        <v>110</v>
      </c>
      <c r="E50" t="s">
        <v>33</v>
      </c>
      <c r="F50" s="1" t="s">
        <v>135</v>
      </c>
      <c r="G50" s="1" t="str">
        <f>_xlfn.XLOOKUP(TableFA2132[[#This Row],[Project]],Projects[Project],Projects[Full Name],"")</f>
        <v>Daniel Gonzalez</v>
      </c>
      <c r="H50" s="1" t="str">
        <f>_xlfn.XLOOKUP(TableFA2132[[#This Row],[Project]],Projects[Project],Projects[Work Email (no gmail/hotmail/etc.)],"")</f>
        <v>dgonz692@fiu.edu</v>
      </c>
      <c r="I50" s="1" t="str">
        <f>_xlfn.XLOOKUP(TableFA2132[[#This Row],[Project]],Projects[Project],Projects[Affiliation (Company/University/Place of Work)],"")</f>
        <v>Florida International University</v>
      </c>
      <c r="J50" s="1" t="str">
        <f>_xlfn.XLOOKUP(TableFA2132[[#This Row],[Project]],Projects[Project],Projects[Job Title],"")</f>
        <v>Capstone 2 Student</v>
      </c>
      <c r="K50" s="10">
        <f>COUNTIFS(TableFA2132[Project],TableFA2132[[#This Row],[Project]],TableFA2132[Program],TableFA2132[[#This Row],[Program]])</f>
        <v>5</v>
      </c>
      <c r="L50" s="10">
        <f>COUNTIFS(TableFA2132[Project],TableFA2132[[#This Row],[Project]])</f>
        <v>5</v>
      </c>
      <c r="P50" t="s">
        <v>36</v>
      </c>
      <c r="Q50" t="s">
        <v>36</v>
      </c>
      <c r="R50" t="s">
        <v>36</v>
      </c>
      <c r="S50" t="s">
        <v>36</v>
      </c>
      <c r="T50" t="s">
        <v>36</v>
      </c>
      <c r="U50" t="s">
        <v>36</v>
      </c>
      <c r="V50" t="s">
        <v>36</v>
      </c>
      <c r="W50" t="s">
        <v>36</v>
      </c>
      <c r="X50" s="5" t="s">
        <v>36</v>
      </c>
      <c r="Y50" t="s">
        <v>36</v>
      </c>
      <c r="Z50" t="s">
        <v>36</v>
      </c>
      <c r="AA50" t="s">
        <v>36</v>
      </c>
      <c r="AB50" t="s">
        <v>36</v>
      </c>
    </row>
    <row r="51" spans="1:29" x14ac:dyDescent="0.2">
      <c r="A51" t="s">
        <v>143</v>
      </c>
      <c r="B51" t="s">
        <v>144</v>
      </c>
      <c r="C51" t="s">
        <v>31</v>
      </c>
      <c r="D51" t="s">
        <v>32</v>
      </c>
      <c r="E51" t="s">
        <v>33</v>
      </c>
      <c r="F51" s="1" t="s">
        <v>145</v>
      </c>
      <c r="G51" s="1" t="str">
        <f>_xlfn.XLOOKUP(TableFA2132[[#This Row],[Project]],Projects[Project],Projects[Full Name],"")</f>
        <v>Antonio Hernandez</v>
      </c>
      <c r="H51" s="1" t="str">
        <f>_xlfn.XLOOKUP(TableFA2132[[#This Row],[Project]],Projects[Project],Projects[Work Email (no gmail/hotmail/etc.)],"")</f>
        <v>antherna@fiu.edu</v>
      </c>
      <c r="I51" s="1" t="str">
        <f>_xlfn.XLOOKUP(TableFA2132[[#This Row],[Project]],Projects[Project],Projects[Affiliation (Company/University/Place of Work)],"")</f>
        <v>Florida International University</v>
      </c>
      <c r="J51" s="1" t="str">
        <f>_xlfn.XLOOKUP(TableFA2132[[#This Row],[Project]],Projects[Project],Projects[Job Title],"")</f>
        <v>Associate Teaching Professor</v>
      </c>
      <c r="K51" s="10">
        <f>COUNTIFS(TableFA2132[Project],TableFA2132[[#This Row],[Project]],TableFA2132[Program],TableFA2132[[#This Row],[Program]])</f>
        <v>6</v>
      </c>
      <c r="L51" s="10">
        <f>COUNTIFS(TableFA2132[Project],TableFA2132[[#This Row],[Project]])</f>
        <v>6</v>
      </c>
      <c r="M51" s="3" t="s">
        <v>35</v>
      </c>
      <c r="P51" s="3" t="s">
        <v>36</v>
      </c>
      <c r="Q51" s="3" t="s">
        <v>36</v>
      </c>
      <c r="R51" s="3" t="s">
        <v>36</v>
      </c>
      <c r="S51" s="3" t="s">
        <v>36</v>
      </c>
      <c r="T51" s="3" t="s">
        <v>36</v>
      </c>
      <c r="U51" s="3" t="s">
        <v>36</v>
      </c>
      <c r="V51" s="3" t="s">
        <v>36</v>
      </c>
      <c r="W51" s="3" t="s">
        <v>36</v>
      </c>
      <c r="X51" s="3" t="s">
        <v>36</v>
      </c>
      <c r="Y51" s="3" t="s">
        <v>36</v>
      </c>
      <c r="Z51" s="32" t="s">
        <v>36</v>
      </c>
      <c r="AA51" s="3" t="s">
        <v>36</v>
      </c>
      <c r="AB51" s="3" t="s">
        <v>36</v>
      </c>
      <c r="AC51" s="3" t="s">
        <v>36</v>
      </c>
    </row>
    <row r="52" spans="1:29" s="2" customFormat="1" x14ac:dyDescent="0.2">
      <c r="A52" t="s">
        <v>146</v>
      </c>
      <c r="B52" t="s">
        <v>147</v>
      </c>
      <c r="C52" t="s">
        <v>31</v>
      </c>
      <c r="D52" t="s">
        <v>32</v>
      </c>
      <c r="E52" t="s">
        <v>33</v>
      </c>
      <c r="F52" s="1" t="s">
        <v>145</v>
      </c>
      <c r="G52" s="1" t="str">
        <f>_xlfn.XLOOKUP(TableFA2132[[#This Row],[Project]],Projects[Project],Projects[Full Name],"")</f>
        <v>Antonio Hernandez</v>
      </c>
      <c r="H52" s="1" t="str">
        <f>_xlfn.XLOOKUP(TableFA2132[[#This Row],[Project]],Projects[Project],Projects[Work Email (no gmail/hotmail/etc.)],"")</f>
        <v>antherna@fiu.edu</v>
      </c>
      <c r="I52" s="1" t="str">
        <f>_xlfn.XLOOKUP(TableFA2132[[#This Row],[Project]],Projects[Project],Projects[Affiliation (Company/University/Place of Work)],"")</f>
        <v>Florida International University</v>
      </c>
      <c r="J52" s="1" t="str">
        <f>_xlfn.XLOOKUP(TableFA2132[[#This Row],[Project]],Projects[Project],Projects[Job Title],"")</f>
        <v>Associate Teaching Professor</v>
      </c>
      <c r="K52" s="10">
        <f>COUNTIFS(TableFA2132[Project],TableFA2132[[#This Row],[Project]],TableFA2132[Program],TableFA2132[[#This Row],[Program]])</f>
        <v>6</v>
      </c>
      <c r="L52" s="10">
        <f>COUNTIFS(TableFA2132[Project],TableFA2132[[#This Row],[Project]])</f>
        <v>6</v>
      </c>
      <c r="M52"/>
      <c r="N52"/>
      <c r="O52"/>
      <c r="P52" t="s">
        <v>36</v>
      </c>
      <c r="Q52" t="s">
        <v>36</v>
      </c>
      <c r="R52" t="s">
        <v>36</v>
      </c>
      <c r="S52" t="s">
        <v>36</v>
      </c>
      <c r="T52" t="s">
        <v>36</v>
      </c>
      <c r="U52" t="s">
        <v>36</v>
      </c>
      <c r="V52" t="s">
        <v>36</v>
      </c>
      <c r="W52" t="s">
        <v>36</v>
      </c>
      <c r="X52" t="s">
        <v>36</v>
      </c>
      <c r="Y52" t="s">
        <v>36</v>
      </c>
      <c r="Z52" s="33" t="s">
        <v>36</v>
      </c>
      <c r="AA52" t="s">
        <v>36</v>
      </c>
      <c r="AB52" t="s">
        <v>36</v>
      </c>
      <c r="AC52" t="s">
        <v>36</v>
      </c>
    </row>
    <row r="53" spans="1:29" s="2" customFormat="1" x14ac:dyDescent="0.2">
      <c r="A53" t="s">
        <v>148</v>
      </c>
      <c r="B53" t="s">
        <v>149</v>
      </c>
      <c r="C53" t="s">
        <v>31</v>
      </c>
      <c r="D53" t="s">
        <v>32</v>
      </c>
      <c r="E53" t="s">
        <v>33</v>
      </c>
      <c r="F53" s="1" t="s">
        <v>145</v>
      </c>
      <c r="G53" s="1" t="str">
        <f>_xlfn.XLOOKUP(TableFA2132[[#This Row],[Project]],Projects[Project],Projects[Full Name],"")</f>
        <v>Antonio Hernandez</v>
      </c>
      <c r="H53" s="1" t="str">
        <f>_xlfn.XLOOKUP(TableFA2132[[#This Row],[Project]],Projects[Project],Projects[Work Email (no gmail/hotmail/etc.)],"")</f>
        <v>antherna@fiu.edu</v>
      </c>
      <c r="I53" s="1" t="str">
        <f>_xlfn.XLOOKUP(TableFA2132[[#This Row],[Project]],Projects[Project],Projects[Affiliation (Company/University/Place of Work)],"")</f>
        <v>Florida International University</v>
      </c>
      <c r="J53" s="1" t="str">
        <f>_xlfn.XLOOKUP(TableFA2132[[#This Row],[Project]],Projects[Project],Projects[Job Title],"")</f>
        <v>Associate Teaching Professor</v>
      </c>
      <c r="K53" s="10">
        <f>COUNTIFS(TableFA2132[Project],TableFA2132[[#This Row],[Project]],TableFA2132[Program],TableFA2132[[#This Row],[Program]])</f>
        <v>6</v>
      </c>
      <c r="L53" s="10">
        <f>COUNTIFS(TableFA2132[Project],TableFA2132[[#This Row],[Project]])</f>
        <v>6</v>
      </c>
      <c r="M53"/>
      <c r="N53"/>
      <c r="O53"/>
      <c r="P53" t="s">
        <v>36</v>
      </c>
      <c r="Q53" t="s">
        <v>36</v>
      </c>
      <c r="R53" t="s">
        <v>36</v>
      </c>
      <c r="S53" t="s">
        <v>36</v>
      </c>
      <c r="T53" t="s">
        <v>36</v>
      </c>
      <c r="U53" t="s">
        <v>36</v>
      </c>
      <c r="V53" t="s">
        <v>36</v>
      </c>
      <c r="W53" t="s">
        <v>36</v>
      </c>
      <c r="X53" t="s">
        <v>36</v>
      </c>
      <c r="Y53" t="s">
        <v>36</v>
      </c>
      <c r="Z53" s="34" t="s">
        <v>36</v>
      </c>
      <c r="AA53" t="s">
        <v>36</v>
      </c>
      <c r="AB53" t="s">
        <v>36</v>
      </c>
      <c r="AC53" t="s">
        <v>36</v>
      </c>
    </row>
    <row r="54" spans="1:29" x14ac:dyDescent="0.2">
      <c r="A54" t="s">
        <v>150</v>
      </c>
      <c r="B54" t="s">
        <v>151</v>
      </c>
      <c r="C54" t="s">
        <v>31</v>
      </c>
      <c r="D54" t="s">
        <v>32</v>
      </c>
      <c r="E54" t="s">
        <v>33</v>
      </c>
      <c r="F54" s="1" t="s">
        <v>145</v>
      </c>
      <c r="G54" s="1" t="str">
        <f>_xlfn.XLOOKUP(TableFA2132[[#This Row],[Project]],Projects[Project],Projects[Full Name],"")</f>
        <v>Antonio Hernandez</v>
      </c>
      <c r="H54" s="1" t="str">
        <f>_xlfn.XLOOKUP(TableFA2132[[#This Row],[Project]],Projects[Project],Projects[Work Email (no gmail/hotmail/etc.)],"")</f>
        <v>antherna@fiu.edu</v>
      </c>
      <c r="I54" s="1" t="str">
        <f>_xlfn.XLOOKUP(TableFA2132[[#This Row],[Project]],Projects[Project],Projects[Affiliation (Company/University/Place of Work)],"")</f>
        <v>Florida International University</v>
      </c>
      <c r="J54" s="1" t="str">
        <f>_xlfn.XLOOKUP(TableFA2132[[#This Row],[Project]],Projects[Project],Projects[Job Title],"")</f>
        <v>Associate Teaching Professor</v>
      </c>
      <c r="K54" s="10">
        <f>COUNTIFS(TableFA2132[Project],TableFA2132[[#This Row],[Project]],TableFA2132[Program],TableFA2132[[#This Row],[Program]])</f>
        <v>6</v>
      </c>
      <c r="L54" s="10">
        <f>COUNTIFS(TableFA2132[Project],TableFA2132[[#This Row],[Project]])</f>
        <v>6</v>
      </c>
      <c r="P54" t="s">
        <v>36</v>
      </c>
      <c r="Q54" t="s">
        <v>36</v>
      </c>
      <c r="R54" t="s">
        <v>36</v>
      </c>
      <c r="S54" t="s">
        <v>36</v>
      </c>
      <c r="T54" t="s">
        <v>36</v>
      </c>
      <c r="U54" t="s">
        <v>36</v>
      </c>
      <c r="V54" t="s">
        <v>36</v>
      </c>
      <c r="W54" t="s">
        <v>36</v>
      </c>
      <c r="X54" t="s">
        <v>36</v>
      </c>
      <c r="Y54" t="s">
        <v>36</v>
      </c>
      <c r="Z54" s="33" t="s">
        <v>36</v>
      </c>
      <c r="AA54" t="s">
        <v>36</v>
      </c>
      <c r="AB54" t="s">
        <v>36</v>
      </c>
      <c r="AC54" t="s">
        <v>36</v>
      </c>
    </row>
    <row r="55" spans="1:29" x14ac:dyDescent="0.2">
      <c r="A55" t="s">
        <v>152</v>
      </c>
      <c r="B55" t="s">
        <v>153</v>
      </c>
      <c r="C55" t="s">
        <v>31</v>
      </c>
      <c r="D55" t="s">
        <v>32</v>
      </c>
      <c r="E55" t="s">
        <v>33</v>
      </c>
      <c r="F55" s="1" t="s">
        <v>145</v>
      </c>
      <c r="G55" s="1" t="str">
        <f>_xlfn.XLOOKUP(TableFA2132[[#This Row],[Project]],Projects[Project],Projects[Full Name],"")</f>
        <v>Antonio Hernandez</v>
      </c>
      <c r="H55" s="1" t="str">
        <f>_xlfn.XLOOKUP(TableFA2132[[#This Row],[Project]],Projects[Project],Projects[Work Email (no gmail/hotmail/etc.)],"")</f>
        <v>antherna@fiu.edu</v>
      </c>
      <c r="I55" s="1" t="str">
        <f>_xlfn.XLOOKUP(TableFA2132[[#This Row],[Project]],Projects[Project],Projects[Affiliation (Company/University/Place of Work)],"")</f>
        <v>Florida International University</v>
      </c>
      <c r="J55" s="1" t="str">
        <f>_xlfn.XLOOKUP(TableFA2132[[#This Row],[Project]],Projects[Project],Projects[Job Title],"")</f>
        <v>Associate Teaching Professor</v>
      </c>
      <c r="K55" s="10">
        <f>COUNTIFS(TableFA2132[Project],TableFA2132[[#This Row],[Project]],TableFA2132[Program],TableFA2132[[#This Row],[Program]])</f>
        <v>6</v>
      </c>
      <c r="L55" s="10">
        <f>COUNTIFS(TableFA2132[Project],TableFA2132[[#This Row],[Project]])</f>
        <v>6</v>
      </c>
      <c r="P55" t="s">
        <v>36</v>
      </c>
      <c r="Q55" t="s">
        <v>36</v>
      </c>
      <c r="R55" t="s">
        <v>36</v>
      </c>
      <c r="S55" t="s">
        <v>36</v>
      </c>
      <c r="T55" t="s">
        <v>36</v>
      </c>
      <c r="U55" t="s">
        <v>36</v>
      </c>
      <c r="V55" t="s">
        <v>36</v>
      </c>
      <c r="W55" t="s">
        <v>36</v>
      </c>
      <c r="X55" t="s">
        <v>36</v>
      </c>
      <c r="Y55" t="s">
        <v>36</v>
      </c>
      <c r="Z55" s="34" t="s">
        <v>36</v>
      </c>
      <c r="AA55" t="s">
        <v>36</v>
      </c>
      <c r="AB55" t="s">
        <v>36</v>
      </c>
      <c r="AC55" t="s">
        <v>36</v>
      </c>
    </row>
    <row r="56" spans="1:29" x14ac:dyDescent="0.2">
      <c r="A56" t="s">
        <v>154</v>
      </c>
      <c r="B56" t="s">
        <v>155</v>
      </c>
      <c r="C56" t="s">
        <v>31</v>
      </c>
      <c r="D56" t="s">
        <v>32</v>
      </c>
      <c r="E56" t="s">
        <v>33</v>
      </c>
      <c r="F56" s="1" t="s">
        <v>145</v>
      </c>
      <c r="G56" s="1" t="str">
        <f>_xlfn.XLOOKUP(TableFA2132[[#This Row],[Project]],Projects[Project],Projects[Full Name],"")</f>
        <v>Antonio Hernandez</v>
      </c>
      <c r="H56" s="1" t="str">
        <f>_xlfn.XLOOKUP(TableFA2132[[#This Row],[Project]],Projects[Project],Projects[Work Email (no gmail/hotmail/etc.)],"")</f>
        <v>antherna@fiu.edu</v>
      </c>
      <c r="I56" s="1" t="str">
        <f>_xlfn.XLOOKUP(TableFA2132[[#This Row],[Project]],Projects[Project],Projects[Affiliation (Company/University/Place of Work)],"")</f>
        <v>Florida International University</v>
      </c>
      <c r="J56" s="1" t="str">
        <f>_xlfn.XLOOKUP(TableFA2132[[#This Row],[Project]],Projects[Project],Projects[Job Title],"")</f>
        <v>Associate Teaching Professor</v>
      </c>
      <c r="K56" s="10">
        <f>COUNTIFS(TableFA2132[Project],TableFA2132[[#This Row],[Project]],TableFA2132[Program],TableFA2132[[#This Row],[Program]])</f>
        <v>6</v>
      </c>
      <c r="L56" s="10">
        <f>COUNTIFS(TableFA2132[Project],TableFA2132[[#This Row],[Project]])</f>
        <v>6</v>
      </c>
      <c r="P56" t="s">
        <v>36</v>
      </c>
      <c r="Q56" t="s">
        <v>36</v>
      </c>
      <c r="R56" t="s">
        <v>36</v>
      </c>
      <c r="S56" t="s">
        <v>36</v>
      </c>
      <c r="T56" t="s">
        <v>36</v>
      </c>
      <c r="U56" t="s">
        <v>36</v>
      </c>
      <c r="V56" t="s">
        <v>36</v>
      </c>
      <c r="W56" t="s">
        <v>36</v>
      </c>
      <c r="X56" t="s">
        <v>36</v>
      </c>
      <c r="Y56" t="s">
        <v>36</v>
      </c>
      <c r="Z56" s="33" t="s">
        <v>36</v>
      </c>
      <c r="AA56" t="s">
        <v>36</v>
      </c>
      <c r="AB56" t="s">
        <v>36</v>
      </c>
      <c r="AC56" t="s">
        <v>36</v>
      </c>
    </row>
    <row r="57" spans="1:29" x14ac:dyDescent="0.2">
      <c r="A57" t="s">
        <v>156</v>
      </c>
      <c r="B57" t="s">
        <v>157</v>
      </c>
      <c r="C57" t="s">
        <v>31</v>
      </c>
      <c r="D57" t="s">
        <v>32</v>
      </c>
      <c r="E57" t="s">
        <v>33</v>
      </c>
      <c r="F57" t="s">
        <v>158</v>
      </c>
      <c r="G57" s="1" t="str">
        <f>_xlfn.XLOOKUP(TableFA2132[[#This Row],[Project]],Projects[Project],Projects[Full Name],"")</f>
        <v>Chen Chen</v>
      </c>
      <c r="H57" s="1" t="str">
        <f>_xlfn.XLOOKUP(TableFA2132[[#This Row],[Project]],Projects[Project],Projects[Work Email (no gmail/hotmail/etc.)],"")</f>
        <v>chechen@fiu.edu</v>
      </c>
      <c r="I57" s="1" t="str">
        <f>_xlfn.XLOOKUP(TableFA2132[[#This Row],[Project]],Projects[Project],Projects[Affiliation (Company/University/Place of Work)],"")</f>
        <v>Knight Foundation School of Computing and Information Sciences</v>
      </c>
      <c r="J57" s="1" t="str">
        <f>_xlfn.XLOOKUP(TableFA2132[[#This Row],[Project]],Projects[Project],Projects[Job Title],"")</f>
        <v>Assistant Professor</v>
      </c>
      <c r="K57" s="10">
        <f>COUNTIFS(TableFA2132[Project],TableFA2132[[#This Row],[Project]],TableFA2132[Program],TableFA2132[[#This Row],[Program]])</f>
        <v>5</v>
      </c>
      <c r="L57" s="10">
        <f>COUNTIFS(TableFA2132[Project],TableFA2132[[#This Row],[Project]])</f>
        <v>5</v>
      </c>
      <c r="M57" s="3" t="s">
        <v>35</v>
      </c>
      <c r="P57" t="s">
        <v>36</v>
      </c>
      <c r="Q57" t="s">
        <v>36</v>
      </c>
      <c r="R57" t="s">
        <v>36</v>
      </c>
      <c r="S57" t="s">
        <v>36</v>
      </c>
      <c r="T57" t="s">
        <v>36</v>
      </c>
      <c r="U57" t="s">
        <v>36</v>
      </c>
      <c r="V57" t="s">
        <v>36</v>
      </c>
      <c r="W57" t="s">
        <v>36</v>
      </c>
      <c r="X57" s="5" t="s">
        <v>36</v>
      </c>
      <c r="Y57" s="5" t="s">
        <v>36</v>
      </c>
      <c r="Z57" t="s">
        <v>36</v>
      </c>
      <c r="AA57" t="s">
        <v>36</v>
      </c>
      <c r="AB57" t="s">
        <v>36</v>
      </c>
      <c r="AC57" t="s">
        <v>36</v>
      </c>
    </row>
    <row r="58" spans="1:29" s="2" customFormat="1" x14ac:dyDescent="0.2">
      <c r="A58" t="s">
        <v>159</v>
      </c>
      <c r="B58" t="s">
        <v>160</v>
      </c>
      <c r="C58" t="s">
        <v>31</v>
      </c>
      <c r="D58" t="s">
        <v>32</v>
      </c>
      <c r="E58" t="s">
        <v>33</v>
      </c>
      <c r="F58" s="1" t="s">
        <v>158</v>
      </c>
      <c r="G58" s="1" t="str">
        <f>_xlfn.XLOOKUP(TableFA2132[[#This Row],[Project]],Projects[Project],Projects[Full Name],"")</f>
        <v>Chen Chen</v>
      </c>
      <c r="H58" s="1" t="str">
        <f>_xlfn.XLOOKUP(TableFA2132[[#This Row],[Project]],Projects[Project],Projects[Work Email (no gmail/hotmail/etc.)],"")</f>
        <v>chechen@fiu.edu</v>
      </c>
      <c r="I58" s="1" t="str">
        <f>_xlfn.XLOOKUP(TableFA2132[[#This Row],[Project]],Projects[Project],Projects[Affiliation (Company/University/Place of Work)],"")</f>
        <v>Knight Foundation School of Computing and Information Sciences</v>
      </c>
      <c r="J58" s="1" t="str">
        <f>_xlfn.XLOOKUP(TableFA2132[[#This Row],[Project]],Projects[Project],Projects[Job Title],"")</f>
        <v>Assistant Professor</v>
      </c>
      <c r="K58" s="10">
        <f>COUNTIFS(TableFA2132[Project],TableFA2132[[#This Row],[Project]],TableFA2132[Program],TableFA2132[[#This Row],[Program]])</f>
        <v>5</v>
      </c>
      <c r="L58" s="10">
        <f>COUNTIFS(TableFA2132[Project],TableFA2132[[#This Row],[Project]])</f>
        <v>5</v>
      </c>
      <c r="M58"/>
      <c r="N58"/>
      <c r="O58"/>
      <c r="P58" t="s">
        <v>36</v>
      </c>
      <c r="Q58" t="s">
        <v>36</v>
      </c>
      <c r="R58" t="s">
        <v>36</v>
      </c>
      <c r="S58" t="s">
        <v>36</v>
      </c>
      <c r="T58" t="s">
        <v>36</v>
      </c>
      <c r="U58" t="s">
        <v>36</v>
      </c>
      <c r="V58" t="s">
        <v>36</v>
      </c>
      <c r="W58" t="s">
        <v>36</v>
      </c>
      <c r="X58" s="5" t="s">
        <v>36</v>
      </c>
      <c r="Y58" t="s">
        <v>36</v>
      </c>
      <c r="Z58" t="s">
        <v>36</v>
      </c>
      <c r="AA58" t="s">
        <v>36</v>
      </c>
      <c r="AB58" t="s">
        <v>36</v>
      </c>
      <c r="AC58" t="s">
        <v>36</v>
      </c>
    </row>
    <row r="59" spans="1:29" x14ac:dyDescent="0.2">
      <c r="A59" t="s">
        <v>161</v>
      </c>
      <c r="B59" t="s">
        <v>162</v>
      </c>
      <c r="C59" t="s">
        <v>31</v>
      </c>
      <c r="D59" t="s">
        <v>32</v>
      </c>
      <c r="E59" t="s">
        <v>33</v>
      </c>
      <c r="F59" s="1" t="s">
        <v>158</v>
      </c>
      <c r="G59" s="1" t="str">
        <f>_xlfn.XLOOKUP(TableFA2132[[#This Row],[Project]],Projects[Project],Projects[Full Name],"")</f>
        <v>Chen Chen</v>
      </c>
      <c r="H59" s="1" t="str">
        <f>_xlfn.XLOOKUP(TableFA2132[[#This Row],[Project]],Projects[Project],Projects[Work Email (no gmail/hotmail/etc.)],"")</f>
        <v>chechen@fiu.edu</v>
      </c>
      <c r="I59" s="1" t="str">
        <f>_xlfn.XLOOKUP(TableFA2132[[#This Row],[Project]],Projects[Project],Projects[Affiliation (Company/University/Place of Work)],"")</f>
        <v>Knight Foundation School of Computing and Information Sciences</v>
      </c>
      <c r="J59" s="1" t="str">
        <f>_xlfn.XLOOKUP(TableFA2132[[#This Row],[Project]],Projects[Project],Projects[Job Title],"")</f>
        <v>Assistant Professor</v>
      </c>
      <c r="K59" s="10">
        <f>COUNTIFS(TableFA2132[Project],TableFA2132[[#This Row],[Project]],TableFA2132[Program],TableFA2132[[#This Row],[Program]])</f>
        <v>5</v>
      </c>
      <c r="L59" s="10">
        <f>COUNTIFS(TableFA2132[Project],TableFA2132[[#This Row],[Project]])</f>
        <v>5</v>
      </c>
      <c r="P59" t="s">
        <v>36</v>
      </c>
      <c r="Q59" t="s">
        <v>36</v>
      </c>
      <c r="R59" t="s">
        <v>74</v>
      </c>
      <c r="S59" t="s">
        <v>74</v>
      </c>
      <c r="T59" t="s">
        <v>163</v>
      </c>
      <c r="U59" t="s">
        <v>163</v>
      </c>
      <c r="V59" t="s">
        <v>163</v>
      </c>
      <c r="W59" t="s">
        <v>163</v>
      </c>
      <c r="X59" s="5" t="s">
        <v>163</v>
      </c>
      <c r="Y59" t="s">
        <v>163</v>
      </c>
      <c r="Z59" t="s">
        <v>163</v>
      </c>
      <c r="AA59" t="s">
        <v>163</v>
      </c>
      <c r="AB59" t="s">
        <v>164</v>
      </c>
      <c r="AC59" t="s">
        <v>164</v>
      </c>
    </row>
    <row r="60" spans="1:29" s="2" customFormat="1" x14ac:dyDescent="0.2">
      <c r="A60" t="s">
        <v>165</v>
      </c>
      <c r="B60" t="s">
        <v>166</v>
      </c>
      <c r="C60" t="s">
        <v>31</v>
      </c>
      <c r="D60" t="s">
        <v>32</v>
      </c>
      <c r="E60" t="s">
        <v>33</v>
      </c>
      <c r="F60" s="1" t="s">
        <v>158</v>
      </c>
      <c r="G60" s="1" t="str">
        <f>_xlfn.XLOOKUP(TableFA2132[[#This Row],[Project]],Projects[Project],Projects[Full Name],"")</f>
        <v>Chen Chen</v>
      </c>
      <c r="H60" s="1" t="str">
        <f>_xlfn.XLOOKUP(TableFA2132[[#This Row],[Project]],Projects[Project],Projects[Work Email (no gmail/hotmail/etc.)],"")</f>
        <v>chechen@fiu.edu</v>
      </c>
      <c r="I60" s="1" t="str">
        <f>_xlfn.XLOOKUP(TableFA2132[[#This Row],[Project]],Projects[Project],Projects[Affiliation (Company/University/Place of Work)],"")</f>
        <v>Knight Foundation School of Computing and Information Sciences</v>
      </c>
      <c r="J60" s="1" t="str">
        <f>_xlfn.XLOOKUP(TableFA2132[[#This Row],[Project]],Projects[Project],Projects[Job Title],"")</f>
        <v>Assistant Professor</v>
      </c>
      <c r="K60" s="10">
        <f>COUNTIFS(TableFA2132[Project],TableFA2132[[#This Row],[Project]],TableFA2132[Program],TableFA2132[[#This Row],[Program]])</f>
        <v>5</v>
      </c>
      <c r="L60" s="10">
        <f>COUNTIFS(TableFA2132[Project],TableFA2132[[#This Row],[Project]])</f>
        <v>5</v>
      </c>
      <c r="M60"/>
      <c r="N60"/>
      <c r="O60"/>
      <c r="P60" t="s">
        <v>36</v>
      </c>
      <c r="Q60" t="s">
        <v>36</v>
      </c>
      <c r="R60" t="s">
        <v>36</v>
      </c>
      <c r="S60" t="s">
        <v>36</v>
      </c>
      <c r="T60" t="s">
        <v>36</v>
      </c>
      <c r="U60" t="s">
        <v>36</v>
      </c>
      <c r="V60" t="s">
        <v>36</v>
      </c>
      <c r="W60" t="s">
        <v>36</v>
      </c>
      <c r="X60" s="5" t="s">
        <v>36</v>
      </c>
      <c r="Y60" t="s">
        <v>36</v>
      </c>
      <c r="Z60" t="s">
        <v>36</v>
      </c>
      <c r="AA60" t="s">
        <v>36</v>
      </c>
      <c r="AB60" t="s">
        <v>36</v>
      </c>
      <c r="AC60" t="s">
        <v>36</v>
      </c>
    </row>
    <row r="61" spans="1:29" x14ac:dyDescent="0.2">
      <c r="A61" t="s">
        <v>167</v>
      </c>
      <c r="B61" t="s">
        <v>168</v>
      </c>
      <c r="C61" t="s">
        <v>31</v>
      </c>
      <c r="D61" t="s">
        <v>32</v>
      </c>
      <c r="E61" t="s">
        <v>33</v>
      </c>
      <c r="F61" t="s">
        <v>158</v>
      </c>
      <c r="G61" s="1" t="str">
        <f>_xlfn.XLOOKUP(TableFA2132[[#This Row],[Project]],Projects[Project],Projects[Full Name],"")</f>
        <v>Chen Chen</v>
      </c>
      <c r="H61" s="1" t="str">
        <f>_xlfn.XLOOKUP(TableFA2132[[#This Row],[Project]],Projects[Project],Projects[Work Email (no gmail/hotmail/etc.)],"")</f>
        <v>chechen@fiu.edu</v>
      </c>
      <c r="I61" s="1" t="str">
        <f>_xlfn.XLOOKUP(TableFA2132[[#This Row],[Project]],Projects[Project],Projects[Affiliation (Company/University/Place of Work)],"")</f>
        <v>Knight Foundation School of Computing and Information Sciences</v>
      </c>
      <c r="J61" s="1" t="str">
        <f>_xlfn.XLOOKUP(TableFA2132[[#This Row],[Project]],Projects[Project],Projects[Job Title],"")</f>
        <v>Assistant Professor</v>
      </c>
      <c r="K61" s="10">
        <f>COUNTIFS(TableFA2132[Project],TableFA2132[[#This Row],[Project]],TableFA2132[Program],TableFA2132[[#This Row],[Program]])</f>
        <v>5</v>
      </c>
      <c r="L61" s="10">
        <f>COUNTIFS(TableFA2132[Project],TableFA2132[[#This Row],[Project]])</f>
        <v>5</v>
      </c>
      <c r="P61" t="s">
        <v>36</v>
      </c>
      <c r="Q61" t="s">
        <v>36</v>
      </c>
      <c r="R61" t="s">
        <v>36</v>
      </c>
      <c r="S61" t="s">
        <v>36</v>
      </c>
      <c r="T61" t="s">
        <v>36</v>
      </c>
      <c r="U61" t="s">
        <v>36</v>
      </c>
      <c r="V61" t="s">
        <v>36</v>
      </c>
      <c r="W61" t="s">
        <v>36</v>
      </c>
      <c r="X61" s="5" t="s">
        <v>36</v>
      </c>
      <c r="Y61" t="s">
        <v>36</v>
      </c>
      <c r="Z61" t="s">
        <v>36</v>
      </c>
      <c r="AA61" t="s">
        <v>36</v>
      </c>
      <c r="AB61" t="s">
        <v>36</v>
      </c>
      <c r="AC61" t="s">
        <v>36</v>
      </c>
    </row>
    <row r="62" spans="1:29" x14ac:dyDescent="0.2">
      <c r="A62" s="3" t="s">
        <v>169</v>
      </c>
      <c r="B62" s="3" t="s">
        <v>170</v>
      </c>
      <c r="C62" s="3" t="s">
        <v>31</v>
      </c>
      <c r="D62" s="3" t="s">
        <v>32</v>
      </c>
      <c r="E62" t="s">
        <v>33</v>
      </c>
      <c r="F62" s="10" t="s">
        <v>171</v>
      </c>
      <c r="G62" s="1" t="str">
        <f>_xlfn.XLOOKUP(TableFA2132[[#This Row],[Project]],Projects[Project],Projects[Full Name],"")</f>
        <v>Ravi Venugopal</v>
      </c>
      <c r="H62" s="1" t="str">
        <f>_xlfn.XLOOKUP(TableFA2132[[#This Row],[Project]],Projects[Project],Projects[Work Email (no gmail/hotmail/etc.)],"")</f>
        <v>ravi@giggso.com</v>
      </c>
      <c r="I62" s="1" t="str">
        <f>_xlfn.XLOOKUP(TableFA2132[[#This Row],[Project]],Projects[Project],Projects[Affiliation (Company/University/Place of Work)],"")</f>
        <v>Giggso</v>
      </c>
      <c r="J62" s="1" t="str">
        <f>_xlfn.XLOOKUP(TableFA2132[[#This Row],[Project]],Projects[Project],Projects[Job Title],"")</f>
        <v>Founder &amp; CEO</v>
      </c>
      <c r="K62" s="10">
        <f>COUNTIFS(TableFA2132[Project],TableFA2132[[#This Row],[Project]],TableFA2132[Program],TableFA2132[[#This Row],[Program]])</f>
        <v>4</v>
      </c>
      <c r="L62" s="10">
        <f>COUNTIFS(TableFA2132[Project],TableFA2132[[#This Row],[Project]])</f>
        <v>4</v>
      </c>
      <c r="M62" s="3" t="s">
        <v>35</v>
      </c>
      <c r="N62" s="3"/>
      <c r="O62" s="3"/>
      <c r="P62" s="3" t="s">
        <v>36</v>
      </c>
      <c r="Q62" s="3" t="s">
        <v>36</v>
      </c>
      <c r="R62" s="3" t="s">
        <v>36</v>
      </c>
      <c r="S62" s="3" t="s">
        <v>36</v>
      </c>
      <c r="T62" s="3" t="s">
        <v>36</v>
      </c>
      <c r="U62" s="3" t="s">
        <v>36</v>
      </c>
      <c r="V62" s="3" t="s">
        <v>36</v>
      </c>
      <c r="W62" s="3" t="s">
        <v>36</v>
      </c>
      <c r="X62" s="21" t="s">
        <v>36</v>
      </c>
      <c r="Y62" s="3" t="s">
        <v>36</v>
      </c>
      <c r="Z62" s="3" t="s">
        <v>36</v>
      </c>
      <c r="AA62" s="3" t="s">
        <v>36</v>
      </c>
      <c r="AB62" s="3" t="s">
        <v>36</v>
      </c>
      <c r="AC62" s="3" t="s">
        <v>36</v>
      </c>
    </row>
    <row r="63" spans="1:29" x14ac:dyDescent="0.2">
      <c r="A63" t="s">
        <v>172</v>
      </c>
      <c r="B63" t="s">
        <v>173</v>
      </c>
      <c r="C63" t="s">
        <v>31</v>
      </c>
      <c r="D63" t="s">
        <v>32</v>
      </c>
      <c r="E63" t="s">
        <v>33</v>
      </c>
      <c r="F63" s="1" t="s">
        <v>171</v>
      </c>
      <c r="G63" s="1" t="str">
        <f>_xlfn.XLOOKUP(TableFA2132[[#This Row],[Project]],Projects[Project],Projects[Full Name],"")</f>
        <v>Ravi Venugopal</v>
      </c>
      <c r="H63" s="1" t="str">
        <f>_xlfn.XLOOKUP(TableFA2132[[#This Row],[Project]],Projects[Project],Projects[Work Email (no gmail/hotmail/etc.)],"")</f>
        <v>ravi@giggso.com</v>
      </c>
      <c r="I63" s="1" t="str">
        <f>_xlfn.XLOOKUP(TableFA2132[[#This Row],[Project]],Projects[Project],Projects[Affiliation (Company/University/Place of Work)],"")</f>
        <v>Giggso</v>
      </c>
      <c r="J63" s="1" t="str">
        <f>_xlfn.XLOOKUP(TableFA2132[[#This Row],[Project]],Projects[Project],Projects[Job Title],"")</f>
        <v>Founder &amp; CEO</v>
      </c>
      <c r="K63" s="10">
        <f>COUNTIFS(TableFA2132[Project],TableFA2132[[#This Row],[Project]],TableFA2132[Program],TableFA2132[[#This Row],[Program]])</f>
        <v>4</v>
      </c>
      <c r="L63" s="10">
        <f>COUNTIFS(TableFA2132[Project],TableFA2132[[#This Row],[Project]])</f>
        <v>4</v>
      </c>
      <c r="P63" t="s">
        <v>36</v>
      </c>
      <c r="Q63" t="s">
        <v>36</v>
      </c>
      <c r="R63" t="s">
        <v>36</v>
      </c>
      <c r="S63" t="s">
        <v>36</v>
      </c>
      <c r="T63" t="s">
        <v>36</v>
      </c>
      <c r="U63" t="s">
        <v>36</v>
      </c>
      <c r="V63" t="s">
        <v>36</v>
      </c>
      <c r="W63" t="s">
        <v>36</v>
      </c>
      <c r="X63" s="5" t="s">
        <v>36</v>
      </c>
      <c r="Y63" t="s">
        <v>36</v>
      </c>
      <c r="Z63" t="s">
        <v>36</v>
      </c>
      <c r="AA63" t="s">
        <v>36</v>
      </c>
      <c r="AB63" t="s">
        <v>36</v>
      </c>
      <c r="AC63" t="s">
        <v>36</v>
      </c>
    </row>
    <row r="64" spans="1:29" x14ac:dyDescent="0.2">
      <c r="A64" t="s">
        <v>174</v>
      </c>
      <c r="B64" t="s">
        <v>175</v>
      </c>
      <c r="C64" s="1" t="s">
        <v>31</v>
      </c>
      <c r="D64" t="s">
        <v>32</v>
      </c>
      <c r="E64" t="s">
        <v>33</v>
      </c>
      <c r="F64" s="24" t="s">
        <v>171</v>
      </c>
      <c r="G64" s="1" t="str">
        <f>_xlfn.XLOOKUP(TableFA2132[[#This Row],[Project]],Projects[Project],Projects[Full Name],"")</f>
        <v>Ravi Venugopal</v>
      </c>
      <c r="H64" s="1" t="str">
        <f>_xlfn.XLOOKUP(TableFA2132[[#This Row],[Project]],Projects[Project],Projects[Work Email (no gmail/hotmail/etc.)],"")</f>
        <v>ravi@giggso.com</v>
      </c>
      <c r="I64" s="1" t="str">
        <f>_xlfn.XLOOKUP(TableFA2132[[#This Row],[Project]],Projects[Project],Projects[Affiliation (Company/University/Place of Work)],"")</f>
        <v>Giggso</v>
      </c>
      <c r="J64" s="1" t="str">
        <f>_xlfn.XLOOKUP(TableFA2132[[#This Row],[Project]],Projects[Project],Projects[Job Title],"")</f>
        <v>Founder &amp; CEO</v>
      </c>
      <c r="K64" s="1">
        <f>COUNTIFS(TableFA2132[Project],TableFA2132[[#This Row],[Project]],TableFA2132[Program],TableFA2132[[#This Row],[Program]])</f>
        <v>4</v>
      </c>
      <c r="L64" s="1">
        <f>COUNTIFS(TableFA2132[Project],TableFA2132[[#This Row],[Project]])</f>
        <v>4</v>
      </c>
      <c r="P64" t="s">
        <v>36</v>
      </c>
      <c r="Q64" t="s">
        <v>36</v>
      </c>
      <c r="R64" t="s">
        <v>36</v>
      </c>
      <c r="S64" t="s">
        <v>36</v>
      </c>
      <c r="T64" t="s">
        <v>36</v>
      </c>
      <c r="U64" t="s">
        <v>36</v>
      </c>
      <c r="V64" t="s">
        <v>36</v>
      </c>
      <c r="W64" t="s">
        <v>36</v>
      </c>
      <c r="X64" s="5" t="s">
        <v>36</v>
      </c>
      <c r="Y64" t="s">
        <v>36</v>
      </c>
      <c r="Z64" t="s">
        <v>36</v>
      </c>
      <c r="AA64" t="s">
        <v>36</v>
      </c>
      <c r="AB64" t="s">
        <v>36</v>
      </c>
      <c r="AC64" t="s">
        <v>36</v>
      </c>
    </row>
    <row r="65" spans="1:29" x14ac:dyDescent="0.2">
      <c r="A65" t="s">
        <v>176</v>
      </c>
      <c r="B65" t="s">
        <v>177</v>
      </c>
      <c r="C65" t="s">
        <v>31</v>
      </c>
      <c r="D65" t="s">
        <v>32</v>
      </c>
      <c r="E65" t="s">
        <v>33</v>
      </c>
      <c r="F65" s="1" t="s">
        <v>171</v>
      </c>
      <c r="G65" s="1" t="str">
        <f>_xlfn.XLOOKUP(TableFA2132[[#This Row],[Project]],Projects[Project],Projects[Full Name],"")</f>
        <v>Ravi Venugopal</v>
      </c>
      <c r="H65" s="1" t="str">
        <f>_xlfn.XLOOKUP(TableFA2132[[#This Row],[Project]],Projects[Project],Projects[Work Email (no gmail/hotmail/etc.)],"")</f>
        <v>ravi@giggso.com</v>
      </c>
      <c r="I65" s="1" t="str">
        <f>_xlfn.XLOOKUP(TableFA2132[[#This Row],[Project]],Projects[Project],Projects[Affiliation (Company/University/Place of Work)],"")</f>
        <v>Giggso</v>
      </c>
      <c r="J65" s="1" t="str">
        <f>_xlfn.XLOOKUP(TableFA2132[[#This Row],[Project]],Projects[Project],Projects[Job Title],"")</f>
        <v>Founder &amp; CEO</v>
      </c>
      <c r="K65" s="10">
        <f>COUNTIFS(TableFA2132[Project],TableFA2132[[#This Row],[Project]],TableFA2132[Program],TableFA2132[[#This Row],[Program]])</f>
        <v>4</v>
      </c>
      <c r="L65" s="10">
        <f>COUNTIFS(TableFA2132[Project],TableFA2132[[#This Row],[Project]])</f>
        <v>4</v>
      </c>
      <c r="P65" t="s">
        <v>36</v>
      </c>
      <c r="Q65" t="s">
        <v>36</v>
      </c>
      <c r="R65" t="s">
        <v>36</v>
      </c>
      <c r="S65" t="s">
        <v>36</v>
      </c>
      <c r="T65" t="s">
        <v>36</v>
      </c>
      <c r="U65" t="s">
        <v>36</v>
      </c>
      <c r="V65" t="s">
        <v>36</v>
      </c>
      <c r="W65" t="s">
        <v>36</v>
      </c>
      <c r="X65" s="5" t="s">
        <v>36</v>
      </c>
      <c r="Y65" t="s">
        <v>36</v>
      </c>
      <c r="Z65" t="s">
        <v>36</v>
      </c>
      <c r="AA65" t="s">
        <v>36</v>
      </c>
      <c r="AB65" t="s">
        <v>36</v>
      </c>
      <c r="AC65" t="s">
        <v>36</v>
      </c>
    </row>
    <row r="66" spans="1:29" s="2" customFormat="1" x14ac:dyDescent="0.2">
      <c r="A66" s="3" t="s">
        <v>178</v>
      </c>
      <c r="B66" s="3" t="s">
        <v>179</v>
      </c>
      <c r="C66" s="3" t="s">
        <v>31</v>
      </c>
      <c r="D66" s="3" t="s">
        <v>32</v>
      </c>
      <c r="E66" t="s">
        <v>33</v>
      </c>
      <c r="F66" s="10" t="s">
        <v>180</v>
      </c>
      <c r="G66" s="1" t="str">
        <f>_xlfn.XLOOKUP(TableFA2132[[#This Row],[Project]],Projects[Project],Projects[Full Name],"")</f>
        <v>Kiesha Moodie</v>
      </c>
      <c r="H66" s="1" t="str">
        <f>_xlfn.XLOOKUP(TableFA2132[[#This Row],[Project]],Projects[Project],Projects[Work Email (no gmail/hotmail/etc.)],"")</f>
        <v>kmoodie@fiu.edu</v>
      </c>
      <c r="I66" s="1" t="str">
        <f>_xlfn.XLOOKUP(TableFA2132[[#This Row],[Project]],Projects[Project],Projects[Affiliation (Company/University/Place of Work)],"")</f>
        <v>ORED - StartUP FIU + CASE PhD Student T&amp;L STEM</v>
      </c>
      <c r="J66" s="1" t="str">
        <f>_xlfn.XLOOKUP(TableFA2132[[#This Row],[Project]],Projects[Project],Projects[Job Title],"")</f>
        <v>Director, Social Inovation + PhD Student - Teaching &amp; Learning (Integrated STEM)</v>
      </c>
      <c r="K66" s="10">
        <f>COUNTIFS(TableFA2132[Project],TableFA2132[[#This Row],[Project]],TableFA2132[Program],TableFA2132[[#This Row],[Program]])</f>
        <v>4</v>
      </c>
      <c r="L66" s="10">
        <f>COUNTIFS(TableFA2132[Project],TableFA2132[[#This Row],[Project]])</f>
        <v>4</v>
      </c>
      <c r="M66" s="3" t="s">
        <v>35</v>
      </c>
      <c r="N66" s="3"/>
      <c r="O66" s="3"/>
      <c r="P66" s="3" t="s">
        <v>36</v>
      </c>
      <c r="Q66" s="3" t="s">
        <v>36</v>
      </c>
      <c r="R66" s="3" t="s">
        <v>36</v>
      </c>
      <c r="S66" s="3" t="s">
        <v>36</v>
      </c>
      <c r="T66" s="3" t="s">
        <v>36</v>
      </c>
      <c r="U66" s="3" t="s">
        <v>36</v>
      </c>
      <c r="V66" s="3" t="s">
        <v>36</v>
      </c>
      <c r="W66" s="3" t="s">
        <v>36</v>
      </c>
      <c r="X66" s="21" t="s">
        <v>36</v>
      </c>
      <c r="Y66" s="3" t="s">
        <v>36</v>
      </c>
      <c r="Z66" s="3" t="s">
        <v>36</v>
      </c>
      <c r="AA66" s="3" t="s">
        <v>36</v>
      </c>
      <c r="AB66" s="3" t="s">
        <v>36</v>
      </c>
      <c r="AC66" s="3" t="s">
        <v>36</v>
      </c>
    </row>
    <row r="67" spans="1:29" x14ac:dyDescent="0.2">
      <c r="A67" t="s">
        <v>181</v>
      </c>
      <c r="B67" t="s">
        <v>182</v>
      </c>
      <c r="C67" t="s">
        <v>31</v>
      </c>
      <c r="D67" t="s">
        <v>32</v>
      </c>
      <c r="E67" t="s">
        <v>33</v>
      </c>
      <c r="F67" s="1" t="s">
        <v>180</v>
      </c>
      <c r="G67" s="1" t="str">
        <f>_xlfn.XLOOKUP(TableFA2132[[#This Row],[Project]],Projects[Project],Projects[Full Name],"")</f>
        <v>Kiesha Moodie</v>
      </c>
      <c r="H67" s="1" t="str">
        <f>_xlfn.XLOOKUP(TableFA2132[[#This Row],[Project]],Projects[Project],Projects[Work Email (no gmail/hotmail/etc.)],"")</f>
        <v>kmoodie@fiu.edu</v>
      </c>
      <c r="I67" s="1" t="str">
        <f>_xlfn.XLOOKUP(TableFA2132[[#This Row],[Project]],Projects[Project],Projects[Affiliation (Company/University/Place of Work)],"")</f>
        <v>ORED - StartUP FIU + CASE PhD Student T&amp;L STEM</v>
      </c>
      <c r="J67" s="1" t="str">
        <f>_xlfn.XLOOKUP(TableFA2132[[#This Row],[Project]],Projects[Project],Projects[Job Title],"")</f>
        <v>Director, Social Inovation + PhD Student - Teaching &amp; Learning (Integrated STEM)</v>
      </c>
      <c r="K67" s="10">
        <f>COUNTIFS(TableFA2132[Project],TableFA2132[[#This Row],[Project]],TableFA2132[Program],TableFA2132[[#This Row],[Program]])</f>
        <v>4</v>
      </c>
      <c r="L67" s="10">
        <f>COUNTIFS(TableFA2132[Project],TableFA2132[[#This Row],[Project]])</f>
        <v>4</v>
      </c>
      <c r="P67" t="s">
        <v>36</v>
      </c>
      <c r="Q67" t="s">
        <v>36</v>
      </c>
      <c r="R67" t="s">
        <v>36</v>
      </c>
      <c r="S67" t="s">
        <v>36</v>
      </c>
      <c r="T67" t="s">
        <v>36</v>
      </c>
      <c r="U67" t="s">
        <v>36</v>
      </c>
      <c r="V67" t="s">
        <v>36</v>
      </c>
      <c r="W67" t="s">
        <v>36</v>
      </c>
      <c r="X67" s="5" t="s">
        <v>36</v>
      </c>
      <c r="Y67" t="s">
        <v>36</v>
      </c>
      <c r="Z67" t="s">
        <v>36</v>
      </c>
      <c r="AA67" t="s">
        <v>36</v>
      </c>
      <c r="AB67" t="s">
        <v>36</v>
      </c>
      <c r="AC67" t="s">
        <v>36</v>
      </c>
    </row>
    <row r="68" spans="1:29" x14ac:dyDescent="0.2">
      <c r="A68" t="s">
        <v>183</v>
      </c>
      <c r="B68" t="s">
        <v>184</v>
      </c>
      <c r="C68" t="s">
        <v>31</v>
      </c>
      <c r="D68" t="s">
        <v>32</v>
      </c>
      <c r="E68" t="s">
        <v>33</v>
      </c>
      <c r="F68" s="1" t="s">
        <v>180</v>
      </c>
      <c r="G68" s="1" t="str">
        <f>_xlfn.XLOOKUP(TableFA2132[[#This Row],[Project]],Projects[Project],Projects[Full Name],"")</f>
        <v>Kiesha Moodie</v>
      </c>
      <c r="H68" s="1" t="str">
        <f>_xlfn.XLOOKUP(TableFA2132[[#This Row],[Project]],Projects[Project],Projects[Work Email (no gmail/hotmail/etc.)],"")</f>
        <v>kmoodie@fiu.edu</v>
      </c>
      <c r="I68" s="1" t="str">
        <f>_xlfn.XLOOKUP(TableFA2132[[#This Row],[Project]],Projects[Project],Projects[Affiliation (Company/University/Place of Work)],"")</f>
        <v>ORED - StartUP FIU + CASE PhD Student T&amp;L STEM</v>
      </c>
      <c r="J68" s="1" t="str">
        <f>_xlfn.XLOOKUP(TableFA2132[[#This Row],[Project]],Projects[Project],Projects[Job Title],"")</f>
        <v>Director, Social Inovation + PhD Student - Teaching &amp; Learning (Integrated STEM)</v>
      </c>
      <c r="K68" s="10">
        <f>COUNTIFS(TableFA2132[Project],TableFA2132[[#This Row],[Project]],TableFA2132[Program],TableFA2132[[#This Row],[Program]])</f>
        <v>4</v>
      </c>
      <c r="L68" s="10">
        <f>COUNTIFS(TableFA2132[Project],TableFA2132[[#This Row],[Project]])</f>
        <v>4</v>
      </c>
      <c r="P68" t="s">
        <v>36</v>
      </c>
      <c r="Q68" t="s">
        <v>36</v>
      </c>
      <c r="R68" t="s">
        <v>36</v>
      </c>
      <c r="S68" t="s">
        <v>36</v>
      </c>
      <c r="T68" t="s">
        <v>36</v>
      </c>
      <c r="U68" t="s">
        <v>36</v>
      </c>
      <c r="V68" t="s">
        <v>36</v>
      </c>
      <c r="W68" t="s">
        <v>36</v>
      </c>
      <c r="X68" s="5" t="s">
        <v>36</v>
      </c>
      <c r="Y68" t="s">
        <v>36</v>
      </c>
      <c r="Z68" t="s">
        <v>36</v>
      </c>
      <c r="AA68" t="s">
        <v>36</v>
      </c>
      <c r="AB68" t="s">
        <v>36</v>
      </c>
      <c r="AC68" t="s">
        <v>36</v>
      </c>
    </row>
    <row r="69" spans="1:29" x14ac:dyDescent="0.2">
      <c r="A69" t="s">
        <v>185</v>
      </c>
      <c r="B69" t="s">
        <v>186</v>
      </c>
      <c r="C69" t="s">
        <v>31</v>
      </c>
      <c r="D69" t="s">
        <v>32</v>
      </c>
      <c r="E69" t="s">
        <v>33</v>
      </c>
      <c r="F69" s="1" t="s">
        <v>180</v>
      </c>
      <c r="G69" s="1" t="str">
        <f>_xlfn.XLOOKUP(TableFA2132[[#This Row],[Project]],Projects[Project],Projects[Full Name],"")</f>
        <v>Kiesha Moodie</v>
      </c>
      <c r="H69" s="1" t="str">
        <f>_xlfn.XLOOKUP(TableFA2132[[#This Row],[Project]],Projects[Project],Projects[Work Email (no gmail/hotmail/etc.)],"")</f>
        <v>kmoodie@fiu.edu</v>
      </c>
      <c r="I69" s="1" t="str">
        <f>_xlfn.XLOOKUP(TableFA2132[[#This Row],[Project]],Projects[Project],Projects[Affiliation (Company/University/Place of Work)],"")</f>
        <v>ORED - StartUP FIU + CASE PhD Student T&amp;L STEM</v>
      </c>
      <c r="J69" s="1" t="str">
        <f>_xlfn.XLOOKUP(TableFA2132[[#This Row],[Project]],Projects[Project],Projects[Job Title],"")</f>
        <v>Director, Social Inovation + PhD Student - Teaching &amp; Learning (Integrated STEM)</v>
      </c>
      <c r="K69" s="10">
        <f>COUNTIFS(TableFA2132[Project],TableFA2132[[#This Row],[Project]],TableFA2132[Program],TableFA2132[[#This Row],[Program]])</f>
        <v>4</v>
      </c>
      <c r="L69" s="10">
        <f>COUNTIFS(TableFA2132[Project],TableFA2132[[#This Row],[Project]])</f>
        <v>4</v>
      </c>
      <c r="P69" t="s">
        <v>36</v>
      </c>
      <c r="Q69" t="s">
        <v>36</v>
      </c>
      <c r="R69" t="s">
        <v>36</v>
      </c>
      <c r="S69" t="s">
        <v>36</v>
      </c>
      <c r="T69" t="s">
        <v>36</v>
      </c>
      <c r="U69" t="s">
        <v>36</v>
      </c>
      <c r="V69" t="s">
        <v>36</v>
      </c>
      <c r="W69" t="s">
        <v>36</v>
      </c>
      <c r="X69" s="5" t="s">
        <v>36</v>
      </c>
      <c r="Y69" t="s">
        <v>36</v>
      </c>
      <c r="Z69" t="s">
        <v>36</v>
      </c>
      <c r="AA69" t="s">
        <v>36</v>
      </c>
      <c r="AB69" t="s">
        <v>36</v>
      </c>
      <c r="AC69" t="s">
        <v>36</v>
      </c>
    </row>
    <row r="70" spans="1:29" x14ac:dyDescent="0.2">
      <c r="A70" s="3" t="s">
        <v>187</v>
      </c>
      <c r="B70" s="3" t="s">
        <v>188</v>
      </c>
      <c r="C70" s="3" t="s">
        <v>31</v>
      </c>
      <c r="D70" s="3" t="s">
        <v>32</v>
      </c>
      <c r="E70" t="s">
        <v>33</v>
      </c>
      <c r="F70" s="10" t="s">
        <v>189</v>
      </c>
      <c r="G70" s="1" t="str">
        <f>_xlfn.XLOOKUP(TableFA2132[[#This Row],[Project]],Projects[Project],Projects[Full Name],"")</f>
        <v xml:space="preserve">Bryan Alexander Fernandez </v>
      </c>
      <c r="H70" s="1" t="str">
        <f>_xlfn.XLOOKUP(TableFA2132[[#This Row],[Project]],Projects[Project],Projects[Work Email (no gmail/hotmail/etc.)],"")</f>
        <v>bfern152@fiu.edu</v>
      </c>
      <c r="I70" s="1" t="str">
        <f>_xlfn.XLOOKUP(TableFA2132[[#This Row],[Project]],Projects[Project],Projects[Affiliation (Company/University/Place of Work)],"")</f>
        <v>Florida International University</v>
      </c>
      <c r="J70" s="1" t="str">
        <f>_xlfn.XLOOKUP(TableFA2132[[#This Row],[Project]],Projects[Project],Projects[Job Title],"")</f>
        <v>Capstone 2 Student</v>
      </c>
      <c r="K70" s="10">
        <f>COUNTIFS(TableFA2132[Project],TableFA2132[[#This Row],[Project]],TableFA2132[Program],TableFA2132[[#This Row],[Program]])</f>
        <v>5</v>
      </c>
      <c r="L70" s="10">
        <f>COUNTIFS(TableFA2132[Project],TableFA2132[[#This Row],[Project]])</f>
        <v>5</v>
      </c>
      <c r="M70" s="3" t="s">
        <v>35</v>
      </c>
      <c r="N70" s="3"/>
      <c r="O70" s="3"/>
      <c r="P70" t="s">
        <v>36</v>
      </c>
      <c r="Q70" s="3" t="s">
        <v>36</v>
      </c>
      <c r="R70" s="3" t="s">
        <v>36</v>
      </c>
      <c r="S70" s="3" t="s">
        <v>36</v>
      </c>
      <c r="T70" s="3" t="s">
        <v>36</v>
      </c>
      <c r="U70" s="3" t="s">
        <v>36</v>
      </c>
      <c r="V70" s="3" t="s">
        <v>36</v>
      </c>
      <c r="W70" s="3" t="s">
        <v>36</v>
      </c>
      <c r="X70" s="21" t="s">
        <v>36</v>
      </c>
      <c r="Y70" s="3" t="s">
        <v>36</v>
      </c>
      <c r="Z70" s="3" t="s">
        <v>36</v>
      </c>
      <c r="AA70" s="3" t="s">
        <v>36</v>
      </c>
      <c r="AB70" s="3" t="s">
        <v>36</v>
      </c>
      <c r="AC70" s="3" t="s">
        <v>36</v>
      </c>
    </row>
    <row r="71" spans="1:29" x14ac:dyDescent="0.2">
      <c r="A71" t="s">
        <v>190</v>
      </c>
      <c r="B71" t="s">
        <v>191</v>
      </c>
      <c r="C71" t="s">
        <v>31</v>
      </c>
      <c r="D71" t="s">
        <v>32</v>
      </c>
      <c r="E71" t="s">
        <v>33</v>
      </c>
      <c r="F71" s="1" t="s">
        <v>189</v>
      </c>
      <c r="G71" s="1" t="str">
        <f>_xlfn.XLOOKUP(TableFA2132[[#This Row],[Project]],Projects[Project],Projects[Full Name],"")</f>
        <v xml:space="preserve">Bryan Alexander Fernandez </v>
      </c>
      <c r="H71" s="1" t="str">
        <f>_xlfn.XLOOKUP(TableFA2132[[#This Row],[Project]],Projects[Project],Projects[Work Email (no gmail/hotmail/etc.)],"")</f>
        <v>bfern152@fiu.edu</v>
      </c>
      <c r="I71" s="1" t="str">
        <f>_xlfn.XLOOKUP(TableFA2132[[#This Row],[Project]],Projects[Project],Projects[Affiliation (Company/University/Place of Work)],"")</f>
        <v>Florida International University</v>
      </c>
      <c r="J71" s="1" t="str">
        <f>_xlfn.XLOOKUP(TableFA2132[[#This Row],[Project]],Projects[Project],Projects[Job Title],"")</f>
        <v>Capstone 2 Student</v>
      </c>
      <c r="K71" s="10">
        <f>COUNTIFS(TableFA2132[Project],TableFA2132[[#This Row],[Project]],TableFA2132[Program],TableFA2132[[#This Row],[Program]])</f>
        <v>5</v>
      </c>
      <c r="L71" s="10">
        <f>COUNTIFS(TableFA2132[Project],TableFA2132[[#This Row],[Project]])</f>
        <v>5</v>
      </c>
      <c r="P71" t="s">
        <v>36</v>
      </c>
      <c r="Q71" t="s">
        <v>36</v>
      </c>
      <c r="R71" t="s">
        <v>36</v>
      </c>
      <c r="S71" t="s">
        <v>36</v>
      </c>
      <c r="T71" t="s">
        <v>36</v>
      </c>
      <c r="U71" t="s">
        <v>36</v>
      </c>
      <c r="V71" t="s">
        <v>36</v>
      </c>
      <c r="W71" t="s">
        <v>36</v>
      </c>
      <c r="X71" t="s">
        <v>36</v>
      </c>
      <c r="Y71" t="s">
        <v>36</v>
      </c>
      <c r="Z71" t="s">
        <v>36</v>
      </c>
      <c r="AA71" t="s">
        <v>36</v>
      </c>
      <c r="AB71" t="s">
        <v>36</v>
      </c>
      <c r="AC71" t="s">
        <v>36</v>
      </c>
    </row>
    <row r="72" spans="1:29" x14ac:dyDescent="0.2">
      <c r="A72" t="s">
        <v>192</v>
      </c>
      <c r="B72" t="s">
        <v>193</v>
      </c>
      <c r="C72" t="s">
        <v>31</v>
      </c>
      <c r="D72" t="s">
        <v>32</v>
      </c>
      <c r="E72" t="s">
        <v>33</v>
      </c>
      <c r="F72" s="1" t="s">
        <v>189</v>
      </c>
      <c r="G72" s="1" t="str">
        <f>_xlfn.XLOOKUP(TableFA2132[[#This Row],[Project]],Projects[Project],Projects[Full Name],"")</f>
        <v xml:space="preserve">Bryan Alexander Fernandez </v>
      </c>
      <c r="H72" s="1" t="str">
        <f>_xlfn.XLOOKUP(TableFA2132[[#This Row],[Project]],Projects[Project],Projects[Work Email (no gmail/hotmail/etc.)],"")</f>
        <v>bfern152@fiu.edu</v>
      </c>
      <c r="I72" s="1" t="str">
        <f>_xlfn.XLOOKUP(TableFA2132[[#This Row],[Project]],Projects[Project],Projects[Affiliation (Company/University/Place of Work)],"")</f>
        <v>Florida International University</v>
      </c>
      <c r="J72" s="1" t="str">
        <f>_xlfn.XLOOKUP(TableFA2132[[#This Row],[Project]],Projects[Project],Projects[Job Title],"")</f>
        <v>Capstone 2 Student</v>
      </c>
      <c r="K72" s="10">
        <f>COUNTIFS(TableFA2132[Project],TableFA2132[[#This Row],[Project]],TableFA2132[Program],TableFA2132[[#This Row],[Program]])</f>
        <v>5</v>
      </c>
      <c r="L72" s="10">
        <f>COUNTIFS(TableFA2132[Project],TableFA2132[[#This Row],[Project]])</f>
        <v>5</v>
      </c>
      <c r="P72" t="s">
        <v>36</v>
      </c>
      <c r="Q72" t="s">
        <v>36</v>
      </c>
      <c r="R72" t="s">
        <v>36</v>
      </c>
      <c r="S72" t="s">
        <v>36</v>
      </c>
      <c r="T72" t="s">
        <v>36</v>
      </c>
      <c r="U72" t="s">
        <v>36</v>
      </c>
      <c r="V72" t="s">
        <v>36</v>
      </c>
      <c r="W72" t="s">
        <v>36</v>
      </c>
      <c r="X72" t="s">
        <v>36</v>
      </c>
      <c r="Y72" t="s">
        <v>36</v>
      </c>
      <c r="Z72" t="s">
        <v>36</v>
      </c>
      <c r="AA72" t="s">
        <v>36</v>
      </c>
      <c r="AB72" t="s">
        <v>36</v>
      </c>
      <c r="AC72" t="s">
        <v>36</v>
      </c>
    </row>
    <row r="73" spans="1:29" x14ac:dyDescent="0.2">
      <c r="A73" t="s">
        <v>194</v>
      </c>
      <c r="B73" t="s">
        <v>195</v>
      </c>
      <c r="C73" t="s">
        <v>31</v>
      </c>
      <c r="D73" t="s">
        <v>32</v>
      </c>
      <c r="E73" t="s">
        <v>33</v>
      </c>
      <c r="F73" s="1" t="s">
        <v>189</v>
      </c>
      <c r="G73" s="1" t="str">
        <f>_xlfn.XLOOKUP(TableFA2132[[#This Row],[Project]],Projects[Project],Projects[Full Name],"")</f>
        <v xml:space="preserve">Bryan Alexander Fernandez </v>
      </c>
      <c r="H73" s="1" t="str">
        <f>_xlfn.XLOOKUP(TableFA2132[[#This Row],[Project]],Projects[Project],Projects[Work Email (no gmail/hotmail/etc.)],"")</f>
        <v>bfern152@fiu.edu</v>
      </c>
      <c r="I73" s="1" t="str">
        <f>_xlfn.XLOOKUP(TableFA2132[[#This Row],[Project]],Projects[Project],Projects[Affiliation (Company/University/Place of Work)],"")</f>
        <v>Florida International University</v>
      </c>
      <c r="J73" s="1" t="str">
        <f>_xlfn.XLOOKUP(TableFA2132[[#This Row],[Project]],Projects[Project],Projects[Job Title],"")</f>
        <v>Capstone 2 Student</v>
      </c>
      <c r="K73" s="10">
        <f>COUNTIFS(TableFA2132[Project],TableFA2132[[#This Row],[Project]],TableFA2132[Program],TableFA2132[[#This Row],[Program]])</f>
        <v>5</v>
      </c>
      <c r="L73" s="10">
        <f>COUNTIFS(TableFA2132[Project],TableFA2132[[#This Row],[Project]])</f>
        <v>5</v>
      </c>
      <c r="P73" t="s">
        <v>36</v>
      </c>
      <c r="Q73" t="s">
        <v>36</v>
      </c>
      <c r="R73" t="s">
        <v>36</v>
      </c>
      <c r="S73" t="s">
        <v>36</v>
      </c>
      <c r="T73" t="s">
        <v>36</v>
      </c>
      <c r="U73" t="s">
        <v>36</v>
      </c>
      <c r="V73" t="s">
        <v>36</v>
      </c>
      <c r="W73" t="s">
        <v>36</v>
      </c>
      <c r="X73" t="s">
        <v>36</v>
      </c>
      <c r="Y73" t="s">
        <v>36</v>
      </c>
      <c r="Z73" t="s">
        <v>36</v>
      </c>
      <c r="AA73" t="s">
        <v>36</v>
      </c>
      <c r="AB73" t="s">
        <v>36</v>
      </c>
      <c r="AC73" t="s">
        <v>36</v>
      </c>
    </row>
    <row r="74" spans="1:29" x14ac:dyDescent="0.2">
      <c r="A74" t="s">
        <v>196</v>
      </c>
      <c r="B74" t="s">
        <v>197</v>
      </c>
      <c r="C74" t="s">
        <v>31</v>
      </c>
      <c r="D74" t="s">
        <v>32</v>
      </c>
      <c r="E74" t="s">
        <v>33</v>
      </c>
      <c r="F74" s="1" t="s">
        <v>189</v>
      </c>
      <c r="G74" s="1" t="str">
        <f>_xlfn.XLOOKUP(TableFA2132[[#This Row],[Project]],Projects[Project],Projects[Full Name],"")</f>
        <v xml:space="preserve">Bryan Alexander Fernandez </v>
      </c>
      <c r="H74" s="1" t="str">
        <f>_xlfn.XLOOKUP(TableFA2132[[#This Row],[Project]],Projects[Project],Projects[Work Email (no gmail/hotmail/etc.)],"")</f>
        <v>bfern152@fiu.edu</v>
      </c>
      <c r="I74" s="1" t="str">
        <f>_xlfn.XLOOKUP(TableFA2132[[#This Row],[Project]],Projects[Project],Projects[Affiliation (Company/University/Place of Work)],"")</f>
        <v>Florida International University</v>
      </c>
      <c r="J74" s="1" t="str">
        <f>_xlfn.XLOOKUP(TableFA2132[[#This Row],[Project]],Projects[Project],Projects[Job Title],"")</f>
        <v>Capstone 2 Student</v>
      </c>
      <c r="K74" s="10">
        <f>COUNTIFS(TableFA2132[Project],TableFA2132[[#This Row],[Project]],TableFA2132[Program],TableFA2132[[#This Row],[Program]])</f>
        <v>5</v>
      </c>
      <c r="L74" s="10">
        <f>COUNTIFS(TableFA2132[Project],TableFA2132[[#This Row],[Project]])</f>
        <v>5</v>
      </c>
      <c r="P74" t="s">
        <v>36</v>
      </c>
      <c r="Q74" t="s">
        <v>36</v>
      </c>
      <c r="R74" t="s">
        <v>36</v>
      </c>
      <c r="S74" t="s">
        <v>36</v>
      </c>
      <c r="T74" t="s">
        <v>36</v>
      </c>
      <c r="U74" t="s">
        <v>36</v>
      </c>
      <c r="V74" t="s">
        <v>36</v>
      </c>
      <c r="W74" t="s">
        <v>36</v>
      </c>
      <c r="X74" t="s">
        <v>36</v>
      </c>
      <c r="Y74" t="s">
        <v>36</v>
      </c>
      <c r="Z74" t="s">
        <v>36</v>
      </c>
      <c r="AA74" t="s">
        <v>36</v>
      </c>
      <c r="AB74" t="s">
        <v>36</v>
      </c>
      <c r="AC74" t="s">
        <v>36</v>
      </c>
    </row>
    <row r="75" spans="1:29" x14ac:dyDescent="0.2">
      <c r="A75" s="3" t="s">
        <v>198</v>
      </c>
      <c r="B75" s="3" t="s">
        <v>199</v>
      </c>
      <c r="C75" s="3" t="s">
        <v>31</v>
      </c>
      <c r="D75" s="3" t="s">
        <v>32</v>
      </c>
      <c r="E75" t="s">
        <v>33</v>
      </c>
      <c r="F75" s="10" t="s">
        <v>200</v>
      </c>
      <c r="G75" s="1" t="str">
        <f>_xlfn.XLOOKUP(TableFA2132[[#This Row],[Project]],Projects[Project],Projects[Full Name],"")</f>
        <v>Giorgio Abboud</v>
      </c>
      <c r="H75" s="1" t="str">
        <f>_xlfn.XLOOKUP(TableFA2132[[#This Row],[Project]],Projects[Project],Projects[Work Email (no gmail/hotmail/etc.)],"")</f>
        <v>gabbo008@fiu.edu</v>
      </c>
      <c r="I75" s="1" t="str">
        <f>_xlfn.XLOOKUP(TableFA2132[[#This Row],[Project]],Projects[Project],Projects[Affiliation (Company/University/Place of Work)],"")</f>
        <v>Florida International University</v>
      </c>
      <c r="J75" s="1" t="str">
        <f>_xlfn.XLOOKUP(TableFA2132[[#This Row],[Project]],Projects[Project],Projects[Job Title],"")</f>
        <v>Capstone 2 Student</v>
      </c>
      <c r="K75" s="10">
        <f>COUNTIFS(TableFA2132[Project],TableFA2132[[#This Row],[Project]],TableFA2132[Program],TableFA2132[[#This Row],[Program]])</f>
        <v>5</v>
      </c>
      <c r="L75" s="10">
        <f>COUNTIFS(TableFA2132[Project],TableFA2132[[#This Row],[Project]])</f>
        <v>5</v>
      </c>
      <c r="M75" s="3" t="s">
        <v>35</v>
      </c>
      <c r="N75" s="3"/>
      <c r="O75" s="3"/>
      <c r="P75" s="3" t="s">
        <v>36</v>
      </c>
      <c r="Q75" s="3" t="s">
        <v>36</v>
      </c>
      <c r="R75" s="3" t="s">
        <v>36</v>
      </c>
      <c r="S75" s="3" t="s">
        <v>36</v>
      </c>
      <c r="T75" s="3" t="s">
        <v>36</v>
      </c>
      <c r="U75" s="3" t="s">
        <v>36</v>
      </c>
      <c r="V75" s="3" t="s">
        <v>36</v>
      </c>
      <c r="W75" s="3" t="s">
        <v>36</v>
      </c>
      <c r="X75" s="21" t="s">
        <v>36</v>
      </c>
      <c r="Y75" s="3" t="s">
        <v>36</v>
      </c>
      <c r="Z75" s="3" t="s">
        <v>36</v>
      </c>
      <c r="AA75" s="3" t="s">
        <v>36</v>
      </c>
      <c r="AB75" s="3" t="s">
        <v>36</v>
      </c>
      <c r="AC75" s="3" t="s">
        <v>36</v>
      </c>
    </row>
    <row r="76" spans="1:29" x14ac:dyDescent="0.2">
      <c r="A76" s="11" t="s">
        <v>201</v>
      </c>
      <c r="B76" t="s">
        <v>202</v>
      </c>
      <c r="C76" t="s">
        <v>31</v>
      </c>
      <c r="D76" t="s">
        <v>32</v>
      </c>
      <c r="E76" t="s">
        <v>33</v>
      </c>
      <c r="F76" s="1" t="s">
        <v>200</v>
      </c>
      <c r="G76" s="1" t="str">
        <f>_xlfn.XLOOKUP(TableFA2132[[#This Row],[Project]],Projects[Project],Projects[Full Name],"")</f>
        <v>Giorgio Abboud</v>
      </c>
      <c r="H76" s="1" t="str">
        <f>_xlfn.XLOOKUP(TableFA2132[[#This Row],[Project]],Projects[Project],Projects[Work Email (no gmail/hotmail/etc.)],"")</f>
        <v>gabbo008@fiu.edu</v>
      </c>
      <c r="I76" s="1" t="str">
        <f>_xlfn.XLOOKUP(TableFA2132[[#This Row],[Project]],Projects[Project],Projects[Affiliation (Company/University/Place of Work)],"")</f>
        <v>Florida International University</v>
      </c>
      <c r="J76" s="1" t="str">
        <f>_xlfn.XLOOKUP(TableFA2132[[#This Row],[Project]],Projects[Project],Projects[Job Title],"")</f>
        <v>Capstone 2 Student</v>
      </c>
      <c r="K76" s="10">
        <f>COUNTIFS(TableFA2132[Project],TableFA2132[[#This Row],[Project]],TableFA2132[Program],TableFA2132[[#This Row],[Program]])</f>
        <v>5</v>
      </c>
      <c r="L76" s="10">
        <f>COUNTIFS(TableFA2132[Project],TableFA2132[[#This Row],[Project]])</f>
        <v>5</v>
      </c>
      <c r="P76" t="s">
        <v>36</v>
      </c>
      <c r="Q76" t="s">
        <v>36</v>
      </c>
      <c r="R76" t="s">
        <v>36</v>
      </c>
      <c r="S76" t="s">
        <v>36</v>
      </c>
      <c r="T76" t="s">
        <v>36</v>
      </c>
      <c r="U76" t="s">
        <v>36</v>
      </c>
      <c r="V76" t="s">
        <v>36</v>
      </c>
      <c r="W76" t="s">
        <v>36</v>
      </c>
      <c r="X76" s="5" t="s">
        <v>36</v>
      </c>
      <c r="Y76" t="s">
        <v>36</v>
      </c>
      <c r="Z76" t="s">
        <v>36</v>
      </c>
      <c r="AA76" t="s">
        <v>36</v>
      </c>
      <c r="AB76" t="s">
        <v>36</v>
      </c>
      <c r="AC76" t="s">
        <v>36</v>
      </c>
    </row>
    <row r="77" spans="1:29" x14ac:dyDescent="0.2">
      <c r="A77" t="s">
        <v>203</v>
      </c>
      <c r="B77" t="s">
        <v>204</v>
      </c>
      <c r="C77" t="s">
        <v>31</v>
      </c>
      <c r="D77" t="s">
        <v>32</v>
      </c>
      <c r="E77" t="s">
        <v>33</v>
      </c>
      <c r="F77" s="1" t="s">
        <v>200</v>
      </c>
      <c r="G77" s="1" t="str">
        <f>_xlfn.XLOOKUP(TableFA2132[[#This Row],[Project]],Projects[Project],Projects[Full Name],"")</f>
        <v>Giorgio Abboud</v>
      </c>
      <c r="H77" s="1" t="str">
        <f>_xlfn.XLOOKUP(TableFA2132[[#This Row],[Project]],Projects[Project],Projects[Work Email (no gmail/hotmail/etc.)],"")</f>
        <v>gabbo008@fiu.edu</v>
      </c>
      <c r="I77" s="1" t="str">
        <f>_xlfn.XLOOKUP(TableFA2132[[#This Row],[Project]],Projects[Project],Projects[Affiliation (Company/University/Place of Work)],"")</f>
        <v>Florida International University</v>
      </c>
      <c r="J77" s="1" t="str">
        <f>_xlfn.XLOOKUP(TableFA2132[[#This Row],[Project]],Projects[Project],Projects[Job Title],"")</f>
        <v>Capstone 2 Student</v>
      </c>
      <c r="K77" s="10">
        <f>COUNTIFS(TableFA2132[Project],TableFA2132[[#This Row],[Project]],TableFA2132[Program],TableFA2132[[#This Row],[Program]])</f>
        <v>5</v>
      </c>
      <c r="L77" s="10">
        <f>COUNTIFS(TableFA2132[Project],TableFA2132[[#This Row],[Project]])</f>
        <v>5</v>
      </c>
      <c r="P77" t="s">
        <v>36</v>
      </c>
      <c r="Q77" t="s">
        <v>36</v>
      </c>
      <c r="R77" t="s">
        <v>36</v>
      </c>
      <c r="S77" t="s">
        <v>36</v>
      </c>
      <c r="T77" t="s">
        <v>36</v>
      </c>
      <c r="U77" t="s">
        <v>36</v>
      </c>
      <c r="V77" t="s">
        <v>36</v>
      </c>
      <c r="W77" t="s">
        <v>36</v>
      </c>
      <c r="X77" s="5" t="s">
        <v>36</v>
      </c>
      <c r="Y77" t="s">
        <v>36</v>
      </c>
      <c r="Z77" t="s">
        <v>36</v>
      </c>
      <c r="AA77" t="s">
        <v>36</v>
      </c>
      <c r="AB77" t="s">
        <v>36</v>
      </c>
      <c r="AC77" t="s">
        <v>36</v>
      </c>
    </row>
    <row r="78" spans="1:29" s="2" customFormat="1" x14ac:dyDescent="0.2">
      <c r="A78" t="s">
        <v>205</v>
      </c>
      <c r="B78" t="s">
        <v>206</v>
      </c>
      <c r="C78" t="s">
        <v>31</v>
      </c>
      <c r="D78" t="s">
        <v>32</v>
      </c>
      <c r="E78" t="s">
        <v>33</v>
      </c>
      <c r="F78" s="24" t="s">
        <v>200</v>
      </c>
      <c r="G78" s="1" t="str">
        <f>_xlfn.XLOOKUP(TableFA2132[[#This Row],[Project]],Projects[Project],Projects[Full Name],"")</f>
        <v>Giorgio Abboud</v>
      </c>
      <c r="H78" s="1" t="str">
        <f>_xlfn.XLOOKUP(TableFA2132[[#This Row],[Project]],Projects[Project],Projects[Work Email (no gmail/hotmail/etc.)],"")</f>
        <v>gabbo008@fiu.edu</v>
      </c>
      <c r="I78" s="1" t="str">
        <f>_xlfn.XLOOKUP(TableFA2132[[#This Row],[Project]],Projects[Project],Projects[Affiliation (Company/University/Place of Work)],"")</f>
        <v>Florida International University</v>
      </c>
      <c r="J78" s="1" t="str">
        <f>_xlfn.XLOOKUP(TableFA2132[[#This Row],[Project]],Projects[Project],Projects[Job Title],"")</f>
        <v>Capstone 2 Student</v>
      </c>
      <c r="K78" s="10">
        <f>COUNTIFS(TableFA2132[Project],TableFA2132[[#This Row],[Project]],TableFA2132[Program],TableFA2132[[#This Row],[Program]])</f>
        <v>5</v>
      </c>
      <c r="L78" s="10">
        <f>COUNTIFS(TableFA2132[Project],TableFA2132[[#This Row],[Project]])</f>
        <v>5</v>
      </c>
      <c r="M78"/>
      <c r="N78"/>
      <c r="O78"/>
      <c r="P78" t="s">
        <v>36</v>
      </c>
      <c r="Q78" t="s">
        <v>36</v>
      </c>
      <c r="R78" t="s">
        <v>36</v>
      </c>
      <c r="S78" t="s">
        <v>36</v>
      </c>
      <c r="T78" t="s">
        <v>36</v>
      </c>
      <c r="U78" t="s">
        <v>36</v>
      </c>
      <c r="V78" t="s">
        <v>36</v>
      </c>
      <c r="W78" t="s">
        <v>36</v>
      </c>
      <c r="X78" s="5" t="s">
        <v>36</v>
      </c>
      <c r="Y78" t="s">
        <v>36</v>
      </c>
      <c r="Z78" t="s">
        <v>36</v>
      </c>
      <c r="AA78" t="s">
        <v>36</v>
      </c>
      <c r="AB78" t="s">
        <v>36</v>
      </c>
      <c r="AC78" t="s">
        <v>36</v>
      </c>
    </row>
    <row r="79" spans="1:29" s="3" customFormat="1" x14ac:dyDescent="0.2">
      <c r="A79" t="s">
        <v>207</v>
      </c>
      <c r="B79" t="s">
        <v>208</v>
      </c>
      <c r="C79" t="s">
        <v>31</v>
      </c>
      <c r="D79" t="s">
        <v>32</v>
      </c>
      <c r="E79" t="s">
        <v>33</v>
      </c>
      <c r="F79" s="1" t="s">
        <v>200</v>
      </c>
      <c r="G79" s="1" t="str">
        <f>_xlfn.XLOOKUP(TableFA2132[[#This Row],[Project]],Projects[Project],Projects[Full Name],"")</f>
        <v>Giorgio Abboud</v>
      </c>
      <c r="H79" s="1" t="str">
        <f>_xlfn.XLOOKUP(TableFA2132[[#This Row],[Project]],Projects[Project],Projects[Work Email (no gmail/hotmail/etc.)],"")</f>
        <v>gabbo008@fiu.edu</v>
      </c>
      <c r="I79" s="1" t="str">
        <f>_xlfn.XLOOKUP(TableFA2132[[#This Row],[Project]],Projects[Project],Projects[Affiliation (Company/University/Place of Work)],"")</f>
        <v>Florida International University</v>
      </c>
      <c r="J79" s="1" t="str">
        <f>_xlfn.XLOOKUP(TableFA2132[[#This Row],[Project]],Projects[Project],Projects[Job Title],"")</f>
        <v>Capstone 2 Student</v>
      </c>
      <c r="K79" s="10">
        <f>COUNTIFS(TableFA2132[Project],TableFA2132[[#This Row],[Project]],TableFA2132[Program],TableFA2132[[#This Row],[Program]])</f>
        <v>5</v>
      </c>
      <c r="L79" s="10">
        <f>COUNTIFS(TableFA2132[Project],TableFA2132[[#This Row],[Project]])</f>
        <v>5</v>
      </c>
      <c r="M79"/>
      <c r="N79"/>
      <c r="O79"/>
      <c r="P79" t="s">
        <v>36</v>
      </c>
      <c r="Q79" t="s">
        <v>36</v>
      </c>
      <c r="R79" t="s">
        <v>36</v>
      </c>
      <c r="S79" t="s">
        <v>36</v>
      </c>
      <c r="T79" t="s">
        <v>36</v>
      </c>
      <c r="U79" t="s">
        <v>36</v>
      </c>
      <c r="V79" t="s">
        <v>36</v>
      </c>
      <c r="W79" t="s">
        <v>36</v>
      </c>
      <c r="X79" s="5" t="s">
        <v>36</v>
      </c>
      <c r="Y79" t="s">
        <v>36</v>
      </c>
      <c r="Z79" t="s">
        <v>36</v>
      </c>
      <c r="AA79" t="s">
        <v>36</v>
      </c>
      <c r="AB79" t="s">
        <v>36</v>
      </c>
      <c r="AC79" t="s">
        <v>36</v>
      </c>
    </row>
    <row r="80" spans="1:29" s="3" customFormat="1" x14ac:dyDescent="0.2">
      <c r="A80" s="3" t="s">
        <v>209</v>
      </c>
      <c r="B80" s="3" t="s">
        <v>210</v>
      </c>
      <c r="C80" s="3" t="s">
        <v>31</v>
      </c>
      <c r="D80" s="3" t="s">
        <v>32</v>
      </c>
      <c r="E80" t="s">
        <v>33</v>
      </c>
      <c r="F80" s="10" t="s">
        <v>211</v>
      </c>
      <c r="G80" s="10" t="str">
        <f>_xlfn.XLOOKUP(TableFA2132[[#This Row],[Project]],Projects[Project],Projects[Full Name],"")</f>
        <v>Pedro Villegas</v>
      </c>
      <c r="H80" s="10" t="str">
        <f>_xlfn.XLOOKUP(TableFA2132[[#This Row],[Project]],Projects[Project],Projects[Work Email (no gmail/hotmail/etc.)],"")</f>
        <v>Pvill044@fiu.edu</v>
      </c>
      <c r="I80" s="10" t="str">
        <f>_xlfn.XLOOKUP(TableFA2132[[#This Row],[Project]],Projects[Project],Projects[Affiliation (Company/University/Place of Work)],"")</f>
        <v>Florida International University</v>
      </c>
      <c r="J80" s="10" t="str">
        <f>_xlfn.XLOOKUP(TableFA2132[[#This Row],[Project]],Projects[Project],Projects[Job Title],"")</f>
        <v>Capstone 2 Student</v>
      </c>
      <c r="K80" s="10">
        <f>COUNTIFS(TableFA2132[Project],TableFA2132[[#This Row],[Project]],TableFA2132[Program],TableFA2132[[#This Row],[Program]])</f>
        <v>5</v>
      </c>
      <c r="L80" s="10">
        <f>COUNTIFS(TableFA2132[Project],TableFA2132[[#This Row],[Project]])</f>
        <v>5</v>
      </c>
      <c r="M80" s="3" t="s">
        <v>35</v>
      </c>
      <c r="P80" s="3" t="s">
        <v>36</v>
      </c>
      <c r="Q80" s="3" t="s">
        <v>36</v>
      </c>
      <c r="R80" s="3" t="s">
        <v>36</v>
      </c>
      <c r="S80" s="3" t="s">
        <v>36</v>
      </c>
      <c r="T80" s="3" t="s">
        <v>36</v>
      </c>
      <c r="U80" s="3" t="s">
        <v>36</v>
      </c>
      <c r="V80" s="3" t="s">
        <v>36</v>
      </c>
      <c r="W80" s="3" t="s">
        <v>36</v>
      </c>
      <c r="X80" s="3" t="s">
        <v>36</v>
      </c>
      <c r="Y80" s="3" t="s">
        <v>36</v>
      </c>
      <c r="Z80" s="3" t="s">
        <v>36</v>
      </c>
      <c r="AA80" s="3" t="s">
        <v>36</v>
      </c>
      <c r="AB80" s="3" t="s">
        <v>36</v>
      </c>
      <c r="AC80" s="3" t="s">
        <v>36</v>
      </c>
    </row>
    <row r="81" spans="1:29" x14ac:dyDescent="0.2">
      <c r="A81" s="11" t="s">
        <v>212</v>
      </c>
      <c r="B81" t="s">
        <v>213</v>
      </c>
      <c r="C81" s="1" t="s">
        <v>31</v>
      </c>
      <c r="D81" t="s">
        <v>110</v>
      </c>
      <c r="E81" t="s">
        <v>33</v>
      </c>
      <c r="F81" t="s">
        <v>211</v>
      </c>
      <c r="G81" s="1" t="str">
        <f>_xlfn.XLOOKUP(TableFA2132[[#This Row],[Project]],Projects[Project],Projects[Full Name],"")</f>
        <v>Pedro Villegas</v>
      </c>
      <c r="H81" s="1" t="str">
        <f>_xlfn.XLOOKUP(TableFA2132[[#This Row],[Project]],Projects[Project],Projects[Work Email (no gmail/hotmail/etc.)],"")</f>
        <v>Pvill044@fiu.edu</v>
      </c>
      <c r="I81" s="1" t="str">
        <f>_xlfn.XLOOKUP(TableFA2132[[#This Row],[Project]],Projects[Project],Projects[Affiliation (Company/University/Place of Work)],"")</f>
        <v>Florida International University</v>
      </c>
      <c r="J81" s="1" t="str">
        <f>_xlfn.XLOOKUP(TableFA2132[[#This Row],[Project]],Projects[Project],Projects[Job Title],"")</f>
        <v>Capstone 2 Student</v>
      </c>
      <c r="K81" s="1">
        <f>COUNTIFS(TableFA2132[Project],TableFA2132[[#This Row],[Project]],TableFA2132[Program],TableFA2132[[#This Row],[Program]])</f>
        <v>5</v>
      </c>
      <c r="L81" s="1">
        <f>COUNTIFS(TableFA2132[Project],TableFA2132[[#This Row],[Project]])</f>
        <v>5</v>
      </c>
      <c r="P81" t="s">
        <v>36</v>
      </c>
      <c r="Q81" t="s">
        <v>36</v>
      </c>
      <c r="R81" t="s">
        <v>36</v>
      </c>
      <c r="S81" t="s">
        <v>36</v>
      </c>
      <c r="T81" t="s">
        <v>36</v>
      </c>
      <c r="U81" t="s">
        <v>36</v>
      </c>
      <c r="V81" t="s">
        <v>36</v>
      </c>
      <c r="W81" t="s">
        <v>36</v>
      </c>
      <c r="X81" t="s">
        <v>36</v>
      </c>
      <c r="Y81" t="s">
        <v>36</v>
      </c>
      <c r="Z81" t="s">
        <v>36</v>
      </c>
      <c r="AA81" t="s">
        <v>36</v>
      </c>
      <c r="AB81" t="s">
        <v>36</v>
      </c>
      <c r="AC81" t="s">
        <v>36</v>
      </c>
    </row>
    <row r="82" spans="1:29" x14ac:dyDescent="0.2">
      <c r="A82" s="11" t="s">
        <v>214</v>
      </c>
      <c r="B82" t="s">
        <v>215</v>
      </c>
      <c r="C82" t="s">
        <v>31</v>
      </c>
      <c r="D82" t="s">
        <v>32</v>
      </c>
      <c r="E82" t="s">
        <v>33</v>
      </c>
      <c r="F82" s="1" t="s">
        <v>211</v>
      </c>
      <c r="G82" s="1" t="str">
        <f>_xlfn.XLOOKUP(TableFA2132[[#This Row],[Project]],Projects[Project],Projects[Full Name],"")</f>
        <v>Pedro Villegas</v>
      </c>
      <c r="H82" s="1" t="str">
        <f>_xlfn.XLOOKUP(TableFA2132[[#This Row],[Project]],Projects[Project],Projects[Work Email (no gmail/hotmail/etc.)],"")</f>
        <v>Pvill044@fiu.edu</v>
      </c>
      <c r="I82" s="1" t="str">
        <f>_xlfn.XLOOKUP(TableFA2132[[#This Row],[Project]],Projects[Project],Projects[Affiliation (Company/University/Place of Work)],"")</f>
        <v>Florida International University</v>
      </c>
      <c r="J82" s="1" t="str">
        <f>_xlfn.XLOOKUP(TableFA2132[[#This Row],[Project]],Projects[Project],Projects[Job Title],"")</f>
        <v>Capstone 2 Student</v>
      </c>
      <c r="K82" s="10">
        <f>COUNTIFS(TableFA2132[Project],TableFA2132[[#This Row],[Project]],TableFA2132[Program],TableFA2132[[#This Row],[Program]])</f>
        <v>5</v>
      </c>
      <c r="L82" s="10">
        <f>COUNTIFS(TableFA2132[Project],TableFA2132[[#This Row],[Project]])</f>
        <v>5</v>
      </c>
      <c r="P82" t="s">
        <v>36</v>
      </c>
      <c r="Q82" t="s">
        <v>36</v>
      </c>
      <c r="R82" t="s">
        <v>36</v>
      </c>
      <c r="S82" t="s">
        <v>36</v>
      </c>
      <c r="T82" t="s">
        <v>36</v>
      </c>
      <c r="U82" t="s">
        <v>36</v>
      </c>
      <c r="V82" t="s">
        <v>36</v>
      </c>
      <c r="W82" t="s">
        <v>36</v>
      </c>
      <c r="X82" t="s">
        <v>36</v>
      </c>
      <c r="Y82" t="s">
        <v>36</v>
      </c>
      <c r="Z82" t="s">
        <v>36</v>
      </c>
      <c r="AA82" t="s">
        <v>36</v>
      </c>
      <c r="AB82" t="s">
        <v>36</v>
      </c>
      <c r="AC82" t="s">
        <v>36</v>
      </c>
    </row>
    <row r="83" spans="1:29" x14ac:dyDescent="0.2">
      <c r="A83" s="11" t="s">
        <v>216</v>
      </c>
      <c r="B83" t="s">
        <v>217</v>
      </c>
      <c r="C83" s="1" t="s">
        <v>31</v>
      </c>
      <c r="D83" t="s">
        <v>32</v>
      </c>
      <c r="E83" t="s">
        <v>33</v>
      </c>
      <c r="F83" t="s">
        <v>211</v>
      </c>
      <c r="G83" s="1" t="str">
        <f>_xlfn.XLOOKUP(TableFA2132[[#This Row],[Project]],Projects[Project],Projects[Full Name],"")</f>
        <v>Pedro Villegas</v>
      </c>
      <c r="H83" s="1" t="str">
        <f>_xlfn.XLOOKUP(TableFA2132[[#This Row],[Project]],Projects[Project],Projects[Work Email (no gmail/hotmail/etc.)],"")</f>
        <v>Pvill044@fiu.edu</v>
      </c>
      <c r="I83" s="1" t="str">
        <f>_xlfn.XLOOKUP(TableFA2132[[#This Row],[Project]],Projects[Project],Projects[Affiliation (Company/University/Place of Work)],"")</f>
        <v>Florida International University</v>
      </c>
      <c r="J83" s="1" t="str">
        <f>_xlfn.XLOOKUP(TableFA2132[[#This Row],[Project]],Projects[Project],Projects[Job Title],"")</f>
        <v>Capstone 2 Student</v>
      </c>
      <c r="K83" s="10">
        <f>COUNTIFS(TableFA2132[Project],TableFA2132[[#This Row],[Project]],TableFA2132[Program],TableFA2132[[#This Row],[Program]])</f>
        <v>5</v>
      </c>
      <c r="L83" s="10">
        <f>COUNTIFS(TableFA2132[Project],TableFA2132[[#This Row],[Project]])</f>
        <v>5</v>
      </c>
      <c r="P83" t="s">
        <v>36</v>
      </c>
      <c r="Q83" t="s">
        <v>36</v>
      </c>
      <c r="R83" t="s">
        <v>36</v>
      </c>
      <c r="S83" t="s">
        <v>36</v>
      </c>
      <c r="T83" t="s">
        <v>36</v>
      </c>
      <c r="U83" t="s">
        <v>36</v>
      </c>
      <c r="V83" t="s">
        <v>36</v>
      </c>
      <c r="W83" t="s">
        <v>36</v>
      </c>
      <c r="X83" t="s">
        <v>36</v>
      </c>
      <c r="Y83" t="s">
        <v>36</v>
      </c>
      <c r="Z83" t="s">
        <v>36</v>
      </c>
      <c r="AA83" t="s">
        <v>36</v>
      </c>
      <c r="AB83" t="s">
        <v>36</v>
      </c>
      <c r="AC83" t="s">
        <v>36</v>
      </c>
    </row>
    <row r="84" spans="1:29" x14ac:dyDescent="0.2">
      <c r="A84" s="29" t="s">
        <v>218</v>
      </c>
      <c r="B84" t="s">
        <v>219</v>
      </c>
      <c r="C84" t="s">
        <v>31</v>
      </c>
      <c r="D84" t="s">
        <v>32</v>
      </c>
      <c r="E84" t="s">
        <v>33</v>
      </c>
      <c r="F84" s="1" t="s">
        <v>211</v>
      </c>
      <c r="G84" s="1" t="str">
        <f>_xlfn.XLOOKUP(TableFA2132[[#This Row],[Project]],Projects[Project],Projects[Full Name],"")</f>
        <v>Pedro Villegas</v>
      </c>
      <c r="H84" s="1" t="str">
        <f>_xlfn.XLOOKUP(TableFA2132[[#This Row],[Project]],Projects[Project],Projects[Work Email (no gmail/hotmail/etc.)],"")</f>
        <v>Pvill044@fiu.edu</v>
      </c>
      <c r="I84" s="1" t="str">
        <f>_xlfn.XLOOKUP(TableFA2132[[#This Row],[Project]],Projects[Project],Projects[Affiliation (Company/University/Place of Work)],"")</f>
        <v>Florida International University</v>
      </c>
      <c r="J84" s="1" t="str">
        <f>_xlfn.XLOOKUP(TableFA2132[[#This Row],[Project]],Projects[Project],Projects[Job Title],"")</f>
        <v>Capstone 2 Student</v>
      </c>
      <c r="K84" s="1">
        <f>COUNTIFS(TableFA2132[Project],TableFA2132[[#This Row],[Project]],TableFA2132[Program],TableFA2132[[#This Row],[Program]])</f>
        <v>5</v>
      </c>
      <c r="L84" s="1">
        <f>COUNTIFS(TableFA2132[Project],TableFA2132[[#This Row],[Project]])</f>
        <v>5</v>
      </c>
      <c r="P84" t="s">
        <v>36</v>
      </c>
      <c r="Q84" t="s">
        <v>36</v>
      </c>
      <c r="R84" t="s">
        <v>36</v>
      </c>
      <c r="S84" t="s">
        <v>36</v>
      </c>
      <c r="T84" t="s">
        <v>36</v>
      </c>
      <c r="U84" t="s">
        <v>36</v>
      </c>
      <c r="V84" t="s">
        <v>36</v>
      </c>
      <c r="W84" t="s">
        <v>36</v>
      </c>
      <c r="X84" t="s">
        <v>36</v>
      </c>
      <c r="Y84" t="s">
        <v>36</v>
      </c>
      <c r="Z84" t="s">
        <v>36</v>
      </c>
      <c r="AA84" t="s">
        <v>36</v>
      </c>
      <c r="AB84" t="s">
        <v>36</v>
      </c>
      <c r="AC84" t="s">
        <v>36</v>
      </c>
    </row>
    <row r="85" spans="1:29" x14ac:dyDescent="0.2">
      <c r="A85" s="3" t="s">
        <v>220</v>
      </c>
      <c r="B85" s="3" t="s">
        <v>221</v>
      </c>
      <c r="C85" s="3" t="s">
        <v>31</v>
      </c>
      <c r="D85" s="3" t="s">
        <v>32</v>
      </c>
      <c r="E85" t="s">
        <v>33</v>
      </c>
      <c r="F85" s="10" t="s">
        <v>222</v>
      </c>
      <c r="G85" s="1" t="str">
        <f>_xlfn.XLOOKUP(TableFA2132[[#This Row],[Project]],Projects[Project],Projects[Full Name],"")</f>
        <v>Brian Garcia</v>
      </c>
      <c r="H85" s="1" t="str">
        <f>_xlfn.XLOOKUP(TableFA2132[[#This Row],[Project]],Projects[Project],Projects[Work Email (no gmail/hotmail/etc.)],"")</f>
        <v>bgarc209@fiu.edu</v>
      </c>
      <c r="I85" s="1" t="str">
        <f>_xlfn.XLOOKUP(TableFA2132[[#This Row],[Project]],Projects[Project],Projects[Affiliation (Company/University/Place of Work)],"")</f>
        <v>Florida International University</v>
      </c>
      <c r="J85" s="1" t="str">
        <f>_xlfn.XLOOKUP(TableFA2132[[#This Row],[Project]],Projects[Project],Projects[Job Title],"")</f>
        <v>Capstone 2 Student</v>
      </c>
      <c r="K85" s="10">
        <f>COUNTIFS(TableFA2132[Project],TableFA2132[[#This Row],[Project]],TableFA2132[Program],TableFA2132[[#This Row],[Program]])</f>
        <v>5</v>
      </c>
      <c r="L85" s="10">
        <f>COUNTIFS(TableFA2132[Project],TableFA2132[[#This Row],[Project]])</f>
        <v>5</v>
      </c>
      <c r="M85" s="3" t="s">
        <v>35</v>
      </c>
      <c r="N85" s="3"/>
      <c r="O85" s="3"/>
      <c r="P85" s="3" t="s">
        <v>36</v>
      </c>
      <c r="Q85" s="3" t="s">
        <v>36</v>
      </c>
      <c r="R85" s="3" t="s">
        <v>36</v>
      </c>
      <c r="S85" s="3" t="s">
        <v>36</v>
      </c>
      <c r="T85" s="3" t="s">
        <v>36</v>
      </c>
      <c r="U85" s="3" t="s">
        <v>36</v>
      </c>
      <c r="V85" s="3" t="s">
        <v>36</v>
      </c>
      <c r="W85" s="3" t="s">
        <v>36</v>
      </c>
      <c r="X85" s="21" t="s">
        <v>36</v>
      </c>
      <c r="Y85" s="3" t="s">
        <v>36</v>
      </c>
      <c r="Z85" s="3" t="s">
        <v>36</v>
      </c>
      <c r="AA85" s="3" t="s">
        <v>36</v>
      </c>
      <c r="AB85" s="3" t="s">
        <v>36</v>
      </c>
      <c r="AC85" s="3"/>
    </row>
    <row r="86" spans="1:29" ht="16" x14ac:dyDescent="0.2">
      <c r="A86" t="s">
        <v>223</v>
      </c>
      <c r="B86" t="s">
        <v>224</v>
      </c>
      <c r="C86" t="s">
        <v>31</v>
      </c>
      <c r="D86" t="s">
        <v>32</v>
      </c>
      <c r="E86" t="s">
        <v>33</v>
      </c>
      <c r="F86" s="1" t="s">
        <v>222</v>
      </c>
      <c r="G86" s="1" t="str">
        <f>_xlfn.XLOOKUP(TableFA2132[[#This Row],[Project]],Projects[Project],Projects[Full Name],"")</f>
        <v>Brian Garcia</v>
      </c>
      <c r="H86" s="1" t="str">
        <f>_xlfn.XLOOKUP(TableFA2132[[#This Row],[Project]],Projects[Project],Projects[Work Email (no gmail/hotmail/etc.)],"")</f>
        <v>bgarc209@fiu.edu</v>
      </c>
      <c r="I86" s="1" t="str">
        <f>_xlfn.XLOOKUP(TableFA2132[[#This Row],[Project]],Projects[Project],Projects[Affiliation (Company/University/Place of Work)],"")</f>
        <v>Florida International University</v>
      </c>
      <c r="J86" s="1" t="str">
        <f>_xlfn.XLOOKUP(TableFA2132[[#This Row],[Project]],Projects[Project],Projects[Job Title],"")</f>
        <v>Capstone 2 Student</v>
      </c>
      <c r="K86" s="10">
        <f>COUNTIFS(TableFA2132[Project],TableFA2132[[#This Row],[Project]],TableFA2132[Program],TableFA2132[[#This Row],[Program]])</f>
        <v>5</v>
      </c>
      <c r="L86" s="10">
        <f>COUNTIFS(TableFA2132[Project],TableFA2132[[#This Row],[Project]])</f>
        <v>5</v>
      </c>
      <c r="P86" t="s">
        <v>36</v>
      </c>
      <c r="Q86" t="s">
        <v>36</v>
      </c>
      <c r="R86" t="s">
        <v>36</v>
      </c>
      <c r="S86" t="s">
        <v>36</v>
      </c>
      <c r="T86" s="20" t="s">
        <v>36</v>
      </c>
      <c r="U86" t="s">
        <v>36</v>
      </c>
      <c r="V86" t="s">
        <v>36</v>
      </c>
      <c r="W86" t="s">
        <v>36</v>
      </c>
      <c r="X86" s="5" t="s">
        <v>36</v>
      </c>
      <c r="Y86" t="s">
        <v>36</v>
      </c>
      <c r="Z86" t="s">
        <v>36</v>
      </c>
      <c r="AA86" t="s">
        <v>36</v>
      </c>
      <c r="AB86" t="s">
        <v>36</v>
      </c>
    </row>
    <row r="87" spans="1:29" x14ac:dyDescent="0.2">
      <c r="A87" t="s">
        <v>225</v>
      </c>
      <c r="B87" t="s">
        <v>226</v>
      </c>
      <c r="C87" t="s">
        <v>31</v>
      </c>
      <c r="D87" t="s">
        <v>32</v>
      </c>
      <c r="E87" t="s">
        <v>33</v>
      </c>
      <c r="F87" s="1" t="s">
        <v>222</v>
      </c>
      <c r="G87" s="1" t="str">
        <f>_xlfn.XLOOKUP(TableFA2132[[#This Row],[Project]],Projects[Project],Projects[Full Name],"")</f>
        <v>Brian Garcia</v>
      </c>
      <c r="H87" s="1" t="str">
        <f>_xlfn.XLOOKUP(TableFA2132[[#This Row],[Project]],Projects[Project],Projects[Work Email (no gmail/hotmail/etc.)],"")</f>
        <v>bgarc209@fiu.edu</v>
      </c>
      <c r="I87" s="1" t="str">
        <f>_xlfn.XLOOKUP(TableFA2132[[#This Row],[Project]],Projects[Project],Projects[Affiliation (Company/University/Place of Work)],"")</f>
        <v>Florida International University</v>
      </c>
      <c r="J87" s="1" t="str">
        <f>_xlfn.XLOOKUP(TableFA2132[[#This Row],[Project]],Projects[Project],Projects[Job Title],"")</f>
        <v>Capstone 2 Student</v>
      </c>
      <c r="K87" s="10">
        <f>COUNTIFS(TableFA2132[Project],TableFA2132[[#This Row],[Project]],TableFA2132[Program],TableFA2132[[#This Row],[Program]])</f>
        <v>5</v>
      </c>
      <c r="L87" s="10">
        <f>COUNTIFS(TableFA2132[Project],TableFA2132[[#This Row],[Project]])</f>
        <v>5</v>
      </c>
      <c r="P87" t="s">
        <v>36</v>
      </c>
      <c r="Q87" t="s">
        <v>36</v>
      </c>
      <c r="R87" t="s">
        <v>36</v>
      </c>
      <c r="S87" t="s">
        <v>36</v>
      </c>
      <c r="T87" t="s">
        <v>36</v>
      </c>
      <c r="U87" t="s">
        <v>36</v>
      </c>
      <c r="V87" t="s">
        <v>36</v>
      </c>
      <c r="W87" t="s">
        <v>36</v>
      </c>
      <c r="X87" s="5" t="s">
        <v>36</v>
      </c>
      <c r="Y87" t="s">
        <v>36</v>
      </c>
      <c r="Z87" t="s">
        <v>36</v>
      </c>
      <c r="AA87" t="s">
        <v>36</v>
      </c>
      <c r="AB87" t="s">
        <v>36</v>
      </c>
    </row>
    <row r="88" spans="1:29" x14ac:dyDescent="0.2">
      <c r="A88" t="s">
        <v>227</v>
      </c>
      <c r="B88" t="s">
        <v>228</v>
      </c>
      <c r="C88" t="s">
        <v>31</v>
      </c>
      <c r="D88" t="s">
        <v>32</v>
      </c>
      <c r="E88" t="s">
        <v>33</v>
      </c>
      <c r="F88" s="1" t="s">
        <v>222</v>
      </c>
      <c r="G88" s="1" t="str">
        <f>_xlfn.XLOOKUP(TableFA2132[[#This Row],[Project]],Projects[Project],Projects[Full Name],"")</f>
        <v>Brian Garcia</v>
      </c>
      <c r="H88" s="1" t="str">
        <f>_xlfn.XLOOKUP(TableFA2132[[#This Row],[Project]],Projects[Project],Projects[Work Email (no gmail/hotmail/etc.)],"")</f>
        <v>bgarc209@fiu.edu</v>
      </c>
      <c r="I88" s="1" t="str">
        <f>_xlfn.XLOOKUP(TableFA2132[[#This Row],[Project]],Projects[Project],Projects[Affiliation (Company/University/Place of Work)],"")</f>
        <v>Florida International University</v>
      </c>
      <c r="J88" s="1" t="str">
        <f>_xlfn.XLOOKUP(TableFA2132[[#This Row],[Project]],Projects[Project],Projects[Job Title],"")</f>
        <v>Capstone 2 Student</v>
      </c>
      <c r="K88" s="10">
        <f>COUNTIFS(TableFA2132[Project],TableFA2132[[#This Row],[Project]],TableFA2132[Program],TableFA2132[[#This Row],[Program]])</f>
        <v>5</v>
      </c>
      <c r="L88" s="10">
        <f>COUNTIFS(TableFA2132[Project],TableFA2132[[#This Row],[Project]])</f>
        <v>5</v>
      </c>
      <c r="P88" t="s">
        <v>36</v>
      </c>
      <c r="Q88" t="s">
        <v>36</v>
      </c>
      <c r="R88" t="s">
        <v>36</v>
      </c>
      <c r="S88" t="s">
        <v>36</v>
      </c>
      <c r="T88" t="s">
        <v>36</v>
      </c>
      <c r="U88" t="s">
        <v>36</v>
      </c>
      <c r="V88" t="s">
        <v>36</v>
      </c>
      <c r="W88" t="s">
        <v>36</v>
      </c>
      <c r="X88" s="5" t="s">
        <v>36</v>
      </c>
      <c r="Y88" t="s">
        <v>36</v>
      </c>
      <c r="Z88" t="s">
        <v>36</v>
      </c>
      <c r="AA88" t="s">
        <v>36</v>
      </c>
      <c r="AB88" t="s">
        <v>36</v>
      </c>
    </row>
    <row r="89" spans="1:29" s="3" customFormat="1" x14ac:dyDescent="0.2">
      <c r="A89" t="s">
        <v>229</v>
      </c>
      <c r="B89" t="s">
        <v>230</v>
      </c>
      <c r="C89" t="s">
        <v>31</v>
      </c>
      <c r="D89" t="s">
        <v>32</v>
      </c>
      <c r="E89" t="s">
        <v>33</v>
      </c>
      <c r="F89" s="1" t="s">
        <v>222</v>
      </c>
      <c r="G89" s="1" t="str">
        <f>_xlfn.XLOOKUP(TableFA2132[[#This Row],[Project]],Projects[Project],Projects[Full Name],"")</f>
        <v>Brian Garcia</v>
      </c>
      <c r="H89" s="1" t="str">
        <f>_xlfn.XLOOKUP(TableFA2132[[#This Row],[Project]],Projects[Project],Projects[Work Email (no gmail/hotmail/etc.)],"")</f>
        <v>bgarc209@fiu.edu</v>
      </c>
      <c r="I89" s="1" t="str">
        <f>_xlfn.XLOOKUP(TableFA2132[[#This Row],[Project]],Projects[Project],Projects[Affiliation (Company/University/Place of Work)],"")</f>
        <v>Florida International University</v>
      </c>
      <c r="J89" s="1" t="str">
        <f>_xlfn.XLOOKUP(TableFA2132[[#This Row],[Project]],Projects[Project],Projects[Job Title],"")</f>
        <v>Capstone 2 Student</v>
      </c>
      <c r="K89" s="10">
        <f>COUNTIFS(TableFA2132[Project],TableFA2132[[#This Row],[Project]],TableFA2132[Program],TableFA2132[[#This Row],[Program]])</f>
        <v>5</v>
      </c>
      <c r="L89" s="10">
        <f>COUNTIFS(TableFA2132[Project],TableFA2132[[#This Row],[Project]])</f>
        <v>5</v>
      </c>
      <c r="M89"/>
      <c r="N89"/>
      <c r="O89"/>
      <c r="P89" t="s">
        <v>36</v>
      </c>
      <c r="Q89" t="s">
        <v>36</v>
      </c>
      <c r="R89" t="s">
        <v>36</v>
      </c>
      <c r="S89" t="s">
        <v>36</v>
      </c>
      <c r="T89" t="s">
        <v>36</v>
      </c>
      <c r="U89" t="s">
        <v>36</v>
      </c>
      <c r="V89" t="s">
        <v>36</v>
      </c>
      <c r="W89" t="s">
        <v>36</v>
      </c>
      <c r="X89" s="5" t="s">
        <v>36</v>
      </c>
      <c r="Y89" t="s">
        <v>36</v>
      </c>
      <c r="Z89" t="s">
        <v>36</v>
      </c>
      <c r="AA89" t="s">
        <v>36</v>
      </c>
      <c r="AB89" t="s">
        <v>36</v>
      </c>
      <c r="AC89"/>
    </row>
    <row r="90" spans="1:29" x14ac:dyDescent="0.2">
      <c r="A90" s="3" t="s">
        <v>231</v>
      </c>
      <c r="B90" s="3" t="s">
        <v>232</v>
      </c>
      <c r="C90" s="3" t="s">
        <v>31</v>
      </c>
      <c r="D90" s="3" t="s">
        <v>32</v>
      </c>
      <c r="E90" t="s">
        <v>33</v>
      </c>
      <c r="F90" s="10" t="s">
        <v>233</v>
      </c>
      <c r="G90" s="10" t="str">
        <f>_xlfn.XLOOKUP(TableFA2132[[#This Row],[Project]],Projects[Project],Projects[Full Name],"")</f>
        <v>Jennifer Mesa</v>
      </c>
      <c r="H90" s="10" t="str">
        <f>_xlfn.XLOOKUP(TableFA2132[[#This Row],[Project]],Projects[Project],Projects[Work Email (no gmail/hotmail/etc.)],"")</f>
        <v>jmesa074@fiu.edu</v>
      </c>
      <c r="I90" s="10" t="str">
        <f>_xlfn.XLOOKUP(TableFA2132[[#This Row],[Project]],Projects[Project],Projects[Affiliation (Company/University/Place of Work)],"")</f>
        <v>Florida International University</v>
      </c>
      <c r="J90" s="10" t="str">
        <f>_xlfn.XLOOKUP(TableFA2132[[#This Row],[Project]],Projects[Project],Projects[Job Title],"")</f>
        <v>Capstone 2 Student</v>
      </c>
      <c r="K90" s="10">
        <f>COUNTIFS(TableFA2132[Project],TableFA2132[[#This Row],[Project]],TableFA2132[Program],TableFA2132[[#This Row],[Program]])</f>
        <v>5</v>
      </c>
      <c r="L90" s="10">
        <f>COUNTIFS(TableFA2132[Project],TableFA2132[[#This Row],[Project]])</f>
        <v>5</v>
      </c>
      <c r="M90" s="3" t="s">
        <v>35</v>
      </c>
      <c r="N90" s="3"/>
      <c r="O90" s="3"/>
      <c r="P90" s="3" t="s">
        <v>36</v>
      </c>
      <c r="Q90" s="3" t="s">
        <v>36</v>
      </c>
      <c r="R90" s="3" t="s">
        <v>36</v>
      </c>
      <c r="S90" s="3" t="s">
        <v>36</v>
      </c>
      <c r="T90" s="3" t="s">
        <v>36</v>
      </c>
      <c r="U90" s="3" t="s">
        <v>36</v>
      </c>
      <c r="V90" s="3" t="s">
        <v>36</v>
      </c>
      <c r="W90" s="3" t="s">
        <v>36</v>
      </c>
      <c r="X90" s="21" t="s">
        <v>36</v>
      </c>
      <c r="Y90" s="3" t="s">
        <v>36</v>
      </c>
      <c r="Z90" s="3" t="s">
        <v>36</v>
      </c>
      <c r="AA90" s="3" t="s">
        <v>36</v>
      </c>
      <c r="AB90" s="3" t="s">
        <v>36</v>
      </c>
      <c r="AC90" s="3" t="s">
        <v>36</v>
      </c>
    </row>
    <row r="91" spans="1:29" x14ac:dyDescent="0.2">
      <c r="A91" t="s">
        <v>234</v>
      </c>
      <c r="B91" t="s">
        <v>235</v>
      </c>
      <c r="C91" t="s">
        <v>31</v>
      </c>
      <c r="D91" t="s">
        <v>32</v>
      </c>
      <c r="E91" t="s">
        <v>33</v>
      </c>
      <c r="F91" s="1" t="s">
        <v>233</v>
      </c>
      <c r="G91" s="1" t="str">
        <f>_xlfn.XLOOKUP(TableFA2132[[#This Row],[Project]],Projects[Project],Projects[Full Name],"")</f>
        <v>Jennifer Mesa</v>
      </c>
      <c r="H91" s="1" t="str">
        <f>_xlfn.XLOOKUP(TableFA2132[[#This Row],[Project]],Projects[Project],Projects[Work Email (no gmail/hotmail/etc.)],"")</f>
        <v>jmesa074@fiu.edu</v>
      </c>
      <c r="I91" s="1" t="str">
        <f>_xlfn.XLOOKUP(TableFA2132[[#This Row],[Project]],Projects[Project],Projects[Affiliation (Company/University/Place of Work)],"")</f>
        <v>Florida International University</v>
      </c>
      <c r="J91" s="1" t="str">
        <f>_xlfn.XLOOKUP(TableFA2132[[#This Row],[Project]],Projects[Project],Projects[Job Title],"")</f>
        <v>Capstone 2 Student</v>
      </c>
      <c r="K91" s="10">
        <f>COUNTIFS(TableFA2132[Project],TableFA2132[[#This Row],[Project]],TableFA2132[Program],TableFA2132[[#This Row],[Program]])</f>
        <v>5</v>
      </c>
      <c r="L91" s="10">
        <f>COUNTIFS(TableFA2132[Project],TableFA2132[[#This Row],[Project]])</f>
        <v>5</v>
      </c>
      <c r="P91" t="s">
        <v>36</v>
      </c>
      <c r="Q91" t="s">
        <v>36</v>
      </c>
      <c r="R91" t="s">
        <v>36</v>
      </c>
      <c r="S91" t="s">
        <v>36</v>
      </c>
      <c r="T91" t="s">
        <v>36</v>
      </c>
      <c r="U91" t="s">
        <v>36</v>
      </c>
      <c r="V91" t="s">
        <v>36</v>
      </c>
      <c r="W91" t="s">
        <v>36</v>
      </c>
      <c r="X91" s="5" t="s">
        <v>36</v>
      </c>
      <c r="Y91" t="s">
        <v>36</v>
      </c>
      <c r="Z91" t="s">
        <v>36</v>
      </c>
      <c r="AA91" t="s">
        <v>36</v>
      </c>
      <c r="AB91" t="s">
        <v>36</v>
      </c>
    </row>
    <row r="92" spans="1:29" x14ac:dyDescent="0.2">
      <c r="A92" t="s">
        <v>236</v>
      </c>
      <c r="B92" t="s">
        <v>237</v>
      </c>
      <c r="C92" t="s">
        <v>31</v>
      </c>
      <c r="D92" t="s">
        <v>32</v>
      </c>
      <c r="E92" t="s">
        <v>33</v>
      </c>
      <c r="F92" s="1" t="s">
        <v>233</v>
      </c>
      <c r="G92" s="1" t="str">
        <f>_xlfn.XLOOKUP(TableFA2132[[#This Row],[Project]],Projects[Project],Projects[Full Name],"")</f>
        <v>Jennifer Mesa</v>
      </c>
      <c r="H92" s="1" t="str">
        <f>_xlfn.XLOOKUP(TableFA2132[[#This Row],[Project]],Projects[Project],Projects[Work Email (no gmail/hotmail/etc.)],"")</f>
        <v>jmesa074@fiu.edu</v>
      </c>
      <c r="I92" s="1" t="str">
        <f>_xlfn.XLOOKUP(TableFA2132[[#This Row],[Project]],Projects[Project],Projects[Affiliation (Company/University/Place of Work)],"")</f>
        <v>Florida International University</v>
      </c>
      <c r="J92" s="1" t="str">
        <f>_xlfn.XLOOKUP(TableFA2132[[#This Row],[Project]],Projects[Project],Projects[Job Title],"")</f>
        <v>Capstone 2 Student</v>
      </c>
      <c r="K92" s="10">
        <f>COUNTIFS(TableFA2132[Project],TableFA2132[[#This Row],[Project]],TableFA2132[Program],TableFA2132[[#This Row],[Program]])</f>
        <v>5</v>
      </c>
      <c r="L92" s="10">
        <f>COUNTIFS(TableFA2132[Project],TableFA2132[[#This Row],[Project]])</f>
        <v>5</v>
      </c>
      <c r="P92" t="s">
        <v>36</v>
      </c>
      <c r="Q92" t="s">
        <v>36</v>
      </c>
      <c r="R92" t="s">
        <v>36</v>
      </c>
      <c r="S92" t="s">
        <v>36</v>
      </c>
      <c r="T92" t="s">
        <v>36</v>
      </c>
      <c r="U92" t="s">
        <v>36</v>
      </c>
      <c r="V92" t="s">
        <v>36</v>
      </c>
      <c r="W92" t="s">
        <v>36</v>
      </c>
      <c r="X92" s="5" t="s">
        <v>36</v>
      </c>
      <c r="Y92" t="s">
        <v>36</v>
      </c>
      <c r="Z92" t="s">
        <v>36</v>
      </c>
      <c r="AA92" t="s">
        <v>36</v>
      </c>
      <c r="AB92" t="s">
        <v>36</v>
      </c>
    </row>
    <row r="93" spans="1:29" x14ac:dyDescent="0.2">
      <c r="A93" t="s">
        <v>238</v>
      </c>
      <c r="B93" t="s">
        <v>239</v>
      </c>
      <c r="C93" t="s">
        <v>31</v>
      </c>
      <c r="D93" t="s">
        <v>32</v>
      </c>
      <c r="E93" t="s">
        <v>33</v>
      </c>
      <c r="F93" s="1" t="s">
        <v>233</v>
      </c>
      <c r="G93" s="1" t="str">
        <f>_xlfn.XLOOKUP(TableFA2132[[#This Row],[Project]],Projects[Project],Projects[Full Name],"")</f>
        <v>Jennifer Mesa</v>
      </c>
      <c r="H93" s="1" t="str">
        <f>_xlfn.XLOOKUP(TableFA2132[[#This Row],[Project]],Projects[Project],Projects[Work Email (no gmail/hotmail/etc.)],"")</f>
        <v>jmesa074@fiu.edu</v>
      </c>
      <c r="I93" s="1" t="str">
        <f>_xlfn.XLOOKUP(TableFA2132[[#This Row],[Project]],Projects[Project],Projects[Affiliation (Company/University/Place of Work)],"")</f>
        <v>Florida International University</v>
      </c>
      <c r="J93" s="1" t="str">
        <f>_xlfn.XLOOKUP(TableFA2132[[#This Row],[Project]],Projects[Project],Projects[Job Title],"")</f>
        <v>Capstone 2 Student</v>
      </c>
      <c r="K93" s="10">
        <f>COUNTIFS(TableFA2132[Project],TableFA2132[[#This Row],[Project]],TableFA2132[Program],TableFA2132[[#This Row],[Program]])</f>
        <v>5</v>
      </c>
      <c r="L93" s="10">
        <f>COUNTIFS(TableFA2132[Project],TableFA2132[[#This Row],[Project]])</f>
        <v>5</v>
      </c>
      <c r="P93" t="s">
        <v>36</v>
      </c>
      <c r="Q93" t="s">
        <v>36</v>
      </c>
      <c r="R93" t="s">
        <v>36</v>
      </c>
      <c r="S93" t="s">
        <v>36</v>
      </c>
      <c r="T93" t="s">
        <v>36</v>
      </c>
      <c r="U93" t="s">
        <v>36</v>
      </c>
      <c r="V93" t="s">
        <v>36</v>
      </c>
      <c r="W93" t="s">
        <v>36</v>
      </c>
      <c r="X93" s="5" t="s">
        <v>36</v>
      </c>
      <c r="Y93" t="s">
        <v>36</v>
      </c>
      <c r="Z93" t="s">
        <v>36</v>
      </c>
      <c r="AA93" t="s">
        <v>36</v>
      </c>
      <c r="AB93" t="s">
        <v>36</v>
      </c>
    </row>
    <row r="94" spans="1:29" x14ac:dyDescent="0.2">
      <c r="A94" t="s">
        <v>240</v>
      </c>
      <c r="B94" t="s">
        <v>241</v>
      </c>
      <c r="C94" t="s">
        <v>31</v>
      </c>
      <c r="D94" t="s">
        <v>32</v>
      </c>
      <c r="E94" t="s">
        <v>33</v>
      </c>
      <c r="F94" s="1" t="s">
        <v>233</v>
      </c>
      <c r="G94" s="1" t="str">
        <f>_xlfn.XLOOKUP(TableFA2132[[#This Row],[Project]],Projects[Project],Projects[Full Name],"")</f>
        <v>Jennifer Mesa</v>
      </c>
      <c r="H94" s="1" t="str">
        <f>_xlfn.XLOOKUP(TableFA2132[[#This Row],[Project]],Projects[Project],Projects[Work Email (no gmail/hotmail/etc.)],"")</f>
        <v>jmesa074@fiu.edu</v>
      </c>
      <c r="I94" s="1" t="str">
        <f>_xlfn.XLOOKUP(TableFA2132[[#This Row],[Project]],Projects[Project],Projects[Affiliation (Company/University/Place of Work)],"")</f>
        <v>Florida International University</v>
      </c>
      <c r="J94" s="1" t="str">
        <f>_xlfn.XLOOKUP(TableFA2132[[#This Row],[Project]],Projects[Project],Projects[Job Title],"")</f>
        <v>Capstone 2 Student</v>
      </c>
      <c r="K94" s="10">
        <f>COUNTIFS(TableFA2132[Project],TableFA2132[[#This Row],[Project]],TableFA2132[Program],TableFA2132[[#This Row],[Program]])</f>
        <v>5</v>
      </c>
      <c r="L94" s="10">
        <f>COUNTIFS(TableFA2132[Project],TableFA2132[[#This Row],[Project]])</f>
        <v>5</v>
      </c>
      <c r="P94" t="s">
        <v>36</v>
      </c>
      <c r="Q94" t="s">
        <v>36</v>
      </c>
      <c r="R94" t="s">
        <v>36</v>
      </c>
      <c r="S94" t="s">
        <v>36</v>
      </c>
      <c r="T94" t="s">
        <v>36</v>
      </c>
      <c r="U94" t="s">
        <v>36</v>
      </c>
      <c r="V94" t="s">
        <v>36</v>
      </c>
      <c r="W94" t="s">
        <v>36</v>
      </c>
      <c r="X94" s="5" t="s">
        <v>36</v>
      </c>
      <c r="Y94" t="s">
        <v>36</v>
      </c>
      <c r="Z94" t="s">
        <v>36</v>
      </c>
      <c r="AA94" t="s">
        <v>36</v>
      </c>
      <c r="AB94" t="s">
        <v>36</v>
      </c>
    </row>
    <row r="95" spans="1:29" x14ac:dyDescent="0.2">
      <c r="A95" s="3" t="s">
        <v>242</v>
      </c>
      <c r="B95" s="3" t="s">
        <v>243</v>
      </c>
      <c r="C95" s="3" t="s">
        <v>31</v>
      </c>
      <c r="D95" s="3" t="s">
        <v>32</v>
      </c>
      <c r="E95" s="3" t="s">
        <v>33</v>
      </c>
      <c r="F95" s="3" t="s">
        <v>244</v>
      </c>
      <c r="G95" s="10" t="str">
        <f>_xlfn.XLOOKUP(TableFA2132[[#This Row],[Project]],Projects[Project],Projects[Full Name],"")</f>
        <v>Ravi Venugopal</v>
      </c>
      <c r="H95" s="10"/>
      <c r="I95" s="10" t="str">
        <f>_xlfn.XLOOKUP(TableFA2132[[#This Row],[Project]],Projects[Project],Projects[Affiliation (Company/University/Place of Work)],"")</f>
        <v>Giggso</v>
      </c>
      <c r="J95" s="10" t="str">
        <f>_xlfn.XLOOKUP(TableFA2132[[#This Row],[Project]],Projects[Project],Projects[Job Title],"")</f>
        <v>Founder &amp; CEO</v>
      </c>
      <c r="K95" s="10">
        <f>COUNTIFS(TableFA2132[Project],TableFA2132[[#This Row],[Project]],TableFA2132[Program],TableFA2132[[#This Row],[Program]])</f>
        <v>3</v>
      </c>
      <c r="L95" s="10">
        <f>COUNTIFS(TableFA2132[Project],TableFA2132[[#This Row],[Project]])</f>
        <v>5</v>
      </c>
      <c r="M95" s="3" t="s">
        <v>35</v>
      </c>
      <c r="N95" s="3"/>
      <c r="O95" s="3"/>
      <c r="P95" s="3" t="s">
        <v>36</v>
      </c>
      <c r="Q95" s="3" t="s">
        <v>36</v>
      </c>
      <c r="R95" s="3" t="s">
        <v>36</v>
      </c>
      <c r="S95" s="3" t="s">
        <v>36</v>
      </c>
      <c r="T95" s="3" t="s">
        <v>36</v>
      </c>
      <c r="U95" s="3" t="s">
        <v>36</v>
      </c>
      <c r="V95" s="3" t="s">
        <v>36</v>
      </c>
      <c r="W95" s="3" t="s">
        <v>36</v>
      </c>
      <c r="X95" s="3" t="s">
        <v>36</v>
      </c>
      <c r="Y95" s="3" t="s">
        <v>36</v>
      </c>
      <c r="Z95" s="3" t="s">
        <v>36</v>
      </c>
      <c r="AA95" s="3" t="s">
        <v>36</v>
      </c>
      <c r="AB95" s="3" t="s">
        <v>36</v>
      </c>
      <c r="AC95" s="3" t="s">
        <v>36</v>
      </c>
    </row>
    <row r="96" spans="1:29" x14ac:dyDescent="0.2">
      <c r="A96" s="11" t="s">
        <v>245</v>
      </c>
      <c r="B96" t="s">
        <v>246</v>
      </c>
      <c r="C96" t="s">
        <v>31</v>
      </c>
      <c r="D96" t="s">
        <v>32</v>
      </c>
      <c r="E96" t="s">
        <v>33</v>
      </c>
      <c r="F96" s="1" t="s">
        <v>244</v>
      </c>
      <c r="G96" s="1" t="str">
        <f>_xlfn.XLOOKUP(TableFA2132[[#This Row],[Project]],Projects[Project],Projects[Full Name],"")</f>
        <v>Ravi Venugopal</v>
      </c>
      <c r="H96" s="1" t="str">
        <f>_xlfn.XLOOKUP(TableFA2132[[#This Row],[Project]],Projects[Project],Projects[Work Email (no gmail/hotmail/etc.)],"")</f>
        <v>ravi@giggso.com</v>
      </c>
      <c r="I96" s="1" t="str">
        <f>_xlfn.XLOOKUP(TableFA2132[[#This Row],[Project]],Projects[Project],Projects[Affiliation (Company/University/Place of Work)],"")</f>
        <v>Giggso</v>
      </c>
      <c r="J96" s="1" t="str">
        <f>_xlfn.XLOOKUP(TableFA2132[[#This Row],[Project]],Projects[Project],Projects[Job Title],"")</f>
        <v>Founder &amp; CEO</v>
      </c>
      <c r="K96" s="10">
        <f>COUNTIFS(TableFA2132[Project],TableFA2132[[#This Row],[Project]],TableFA2132[Program],TableFA2132[[#This Row],[Program]])</f>
        <v>3</v>
      </c>
      <c r="L96" s="10">
        <f>COUNTIFS(TableFA2132[Project],TableFA2132[[#This Row],[Project]])</f>
        <v>5</v>
      </c>
      <c r="P96" s="3" t="s">
        <v>36</v>
      </c>
      <c r="Q96" s="3" t="s">
        <v>36</v>
      </c>
      <c r="R96" s="3" t="s">
        <v>36</v>
      </c>
      <c r="S96" s="3" t="s">
        <v>36</v>
      </c>
      <c r="T96" s="3" t="s">
        <v>36</v>
      </c>
      <c r="U96" s="3" t="s">
        <v>36</v>
      </c>
      <c r="V96" s="3" t="s">
        <v>36</v>
      </c>
      <c r="W96" s="3" t="s">
        <v>36</v>
      </c>
      <c r="X96" s="3" t="s">
        <v>36</v>
      </c>
      <c r="Y96" s="3" t="s">
        <v>36</v>
      </c>
      <c r="Z96" s="3" t="s">
        <v>36</v>
      </c>
      <c r="AA96" s="3" t="s">
        <v>36</v>
      </c>
      <c r="AB96" s="3" t="s">
        <v>36</v>
      </c>
      <c r="AC96" s="3" t="s">
        <v>36</v>
      </c>
    </row>
    <row r="97" spans="1:29" x14ac:dyDescent="0.2">
      <c r="A97" t="s">
        <v>247</v>
      </c>
      <c r="B97" t="s">
        <v>248</v>
      </c>
      <c r="C97" t="s">
        <v>31</v>
      </c>
      <c r="D97" t="s">
        <v>32</v>
      </c>
      <c r="E97" t="s">
        <v>33</v>
      </c>
      <c r="F97" s="1" t="s">
        <v>244</v>
      </c>
      <c r="G97" s="1" t="str">
        <f>_xlfn.XLOOKUP(TableFA2132[[#This Row],[Project]],Projects[Project],Projects[Full Name],"")</f>
        <v>Ravi Venugopal</v>
      </c>
      <c r="H97" s="1" t="str">
        <f>_xlfn.XLOOKUP(TableFA2132[[#This Row],[Project]],Projects[Project],Projects[Work Email (no gmail/hotmail/etc.)],"")</f>
        <v>ravi@giggso.com</v>
      </c>
      <c r="I97" s="1" t="str">
        <f>_xlfn.XLOOKUP(TableFA2132[[#This Row],[Project]],Projects[Project],Projects[Affiliation (Company/University/Place of Work)],"")</f>
        <v>Giggso</v>
      </c>
      <c r="J97" s="1" t="str">
        <f>_xlfn.XLOOKUP(TableFA2132[[#This Row],[Project]],Projects[Project],Projects[Job Title],"")</f>
        <v>Founder &amp; CEO</v>
      </c>
      <c r="K97" s="10">
        <f>COUNTIFS(TableFA2132[Project],TableFA2132[[#This Row],[Project]],TableFA2132[Program],TableFA2132[[#This Row],[Program]])</f>
        <v>3</v>
      </c>
      <c r="L97" s="10">
        <f>COUNTIFS(TableFA2132[Project],TableFA2132[[#This Row],[Project]])</f>
        <v>5</v>
      </c>
      <c r="P97" s="3" t="s">
        <v>36</v>
      </c>
      <c r="Q97" s="3" t="s">
        <v>36</v>
      </c>
      <c r="R97" s="3" t="s">
        <v>36</v>
      </c>
      <c r="S97" s="3" t="s">
        <v>36</v>
      </c>
      <c r="T97" s="3" t="s">
        <v>36</v>
      </c>
      <c r="U97" s="3" t="s">
        <v>36</v>
      </c>
      <c r="V97" s="3" t="s">
        <v>36</v>
      </c>
      <c r="W97" s="3" t="s">
        <v>36</v>
      </c>
      <c r="X97" t="s">
        <v>163</v>
      </c>
      <c r="Y97" t="s">
        <v>163</v>
      </c>
      <c r="Z97" t="s">
        <v>163</v>
      </c>
      <c r="AA97" t="s">
        <v>163</v>
      </c>
      <c r="AB97" t="s">
        <v>74</v>
      </c>
      <c r="AC97" s="3" t="s">
        <v>36</v>
      </c>
    </row>
    <row r="98" spans="1:29" x14ac:dyDescent="0.2">
      <c r="A98" s="11" t="s">
        <v>249</v>
      </c>
      <c r="B98" s="3" t="s">
        <v>250</v>
      </c>
      <c r="C98" s="3" t="s">
        <v>31</v>
      </c>
      <c r="D98" s="3" t="s">
        <v>32</v>
      </c>
      <c r="E98" t="s">
        <v>33</v>
      </c>
      <c r="F98" s="10" t="s">
        <v>251</v>
      </c>
      <c r="G98" s="1" t="str">
        <f>_xlfn.XLOOKUP(TableFA2132[[#This Row],[Project]],Projects[Project],Projects[Full Name],"")</f>
        <v>Nicholas Delgado</v>
      </c>
      <c r="H98" s="1" t="str">
        <f>_xlfn.XLOOKUP(TableFA2132[[#This Row],[Project]],Projects[Project],Projects[Work Email (no gmail/hotmail/etc.)],"")</f>
        <v>ndelg052@fiu.edu</v>
      </c>
      <c r="I98" s="1" t="str">
        <f>_xlfn.XLOOKUP(TableFA2132[[#This Row],[Project]],Projects[Project],Projects[Affiliation (Company/University/Place of Work)],"")</f>
        <v>Florida International University</v>
      </c>
      <c r="J98" s="1" t="str">
        <f>_xlfn.XLOOKUP(TableFA2132[[#This Row],[Project]],Projects[Project],Projects[Job Title],"")</f>
        <v>Capstone 2 Student</v>
      </c>
      <c r="K98" s="10">
        <f>COUNTIFS(TableFA2132[Project],TableFA2132[[#This Row],[Project]],TableFA2132[Program],TableFA2132[[#This Row],[Program]])</f>
        <v>3</v>
      </c>
      <c r="L98" s="10">
        <f>COUNTIFS(TableFA2132[Project],TableFA2132[[#This Row],[Project]])</f>
        <v>3</v>
      </c>
      <c r="M98" s="3" t="s">
        <v>35</v>
      </c>
      <c r="N98" s="3"/>
      <c r="O98" s="3"/>
      <c r="P98" s="3" t="s">
        <v>36</v>
      </c>
      <c r="Q98" s="3" t="s">
        <v>36</v>
      </c>
      <c r="R98" s="3" t="s">
        <v>36</v>
      </c>
      <c r="S98" s="3" t="s">
        <v>36</v>
      </c>
      <c r="T98" s="3" t="s">
        <v>36</v>
      </c>
      <c r="U98" s="3" t="s">
        <v>36</v>
      </c>
      <c r="V98" s="3" t="s">
        <v>36</v>
      </c>
      <c r="W98" s="3" t="s">
        <v>36</v>
      </c>
      <c r="X98" s="21" t="s">
        <v>36</v>
      </c>
      <c r="Y98" s="3" t="s">
        <v>36</v>
      </c>
      <c r="Z98" s="3" t="s">
        <v>36</v>
      </c>
      <c r="AA98" s="3" t="s">
        <v>36</v>
      </c>
      <c r="AB98" s="3" t="s">
        <v>36</v>
      </c>
    </row>
    <row r="99" spans="1:29" x14ac:dyDescent="0.2">
      <c r="A99" t="s">
        <v>252</v>
      </c>
      <c r="B99" t="s">
        <v>253</v>
      </c>
      <c r="C99" t="s">
        <v>31</v>
      </c>
      <c r="D99" t="s">
        <v>32</v>
      </c>
      <c r="E99" t="s">
        <v>33</v>
      </c>
      <c r="F99" s="1" t="s">
        <v>251</v>
      </c>
      <c r="G99" s="1" t="str">
        <f>_xlfn.XLOOKUP(TableFA2132[[#This Row],[Project]],Projects[Project],Projects[Full Name],"")</f>
        <v>Nicholas Delgado</v>
      </c>
      <c r="H99" s="1" t="str">
        <f>_xlfn.XLOOKUP(TableFA2132[[#This Row],[Project]],Projects[Project],Projects[Work Email (no gmail/hotmail/etc.)],"")</f>
        <v>ndelg052@fiu.edu</v>
      </c>
      <c r="I99" s="1" t="str">
        <f>_xlfn.XLOOKUP(TableFA2132[[#This Row],[Project]],Projects[Project],Projects[Affiliation (Company/University/Place of Work)],"")</f>
        <v>Florida International University</v>
      </c>
      <c r="J99" s="1" t="str">
        <f>_xlfn.XLOOKUP(TableFA2132[[#This Row],[Project]],Projects[Project],Projects[Job Title],"")</f>
        <v>Capstone 2 Student</v>
      </c>
      <c r="K99" s="10">
        <f>COUNTIFS(TableFA2132[Project],TableFA2132[[#This Row],[Project]],TableFA2132[Program],TableFA2132[[#This Row],[Program]])</f>
        <v>3</v>
      </c>
      <c r="L99" s="10">
        <f>COUNTIFS(TableFA2132[Project],TableFA2132[[#This Row],[Project]])</f>
        <v>3</v>
      </c>
      <c r="P99" t="s">
        <v>36</v>
      </c>
      <c r="Q99" t="s">
        <v>36</v>
      </c>
      <c r="R99" t="s">
        <v>36</v>
      </c>
      <c r="S99" t="s">
        <v>36</v>
      </c>
      <c r="T99" t="s">
        <v>36</v>
      </c>
      <c r="U99" t="s">
        <v>36</v>
      </c>
      <c r="V99" t="s">
        <v>36</v>
      </c>
      <c r="W99" t="s">
        <v>36</v>
      </c>
      <c r="X99" s="5" t="s">
        <v>36</v>
      </c>
      <c r="Y99" t="s">
        <v>36</v>
      </c>
      <c r="Z99" t="s">
        <v>36</v>
      </c>
      <c r="AA99" t="s">
        <v>36</v>
      </c>
      <c r="AB99" t="s">
        <v>36</v>
      </c>
    </row>
    <row r="100" spans="1:29" s="3" customFormat="1" x14ac:dyDescent="0.2">
      <c r="A100" t="s">
        <v>254</v>
      </c>
      <c r="B100" t="s">
        <v>255</v>
      </c>
      <c r="C100" t="s">
        <v>31</v>
      </c>
      <c r="D100" t="s">
        <v>32</v>
      </c>
      <c r="E100" t="s">
        <v>33</v>
      </c>
      <c r="F100" s="1" t="s">
        <v>251</v>
      </c>
      <c r="G100" s="1" t="str">
        <f>_xlfn.XLOOKUP(TableFA2132[[#This Row],[Project]],Projects[Project],Projects[Full Name],"")</f>
        <v>Nicholas Delgado</v>
      </c>
      <c r="H100" s="1" t="str">
        <f>_xlfn.XLOOKUP(TableFA2132[[#This Row],[Project]],Projects[Project],Projects[Work Email (no gmail/hotmail/etc.)],"")</f>
        <v>ndelg052@fiu.edu</v>
      </c>
      <c r="I100" s="1" t="str">
        <f>_xlfn.XLOOKUP(TableFA2132[[#This Row],[Project]],Projects[Project],Projects[Affiliation (Company/University/Place of Work)],"")</f>
        <v>Florida International University</v>
      </c>
      <c r="J100" s="1" t="str">
        <f>_xlfn.XLOOKUP(TableFA2132[[#This Row],[Project]],Projects[Project],Projects[Job Title],"")</f>
        <v>Capstone 2 Student</v>
      </c>
      <c r="K100" s="10">
        <f>COUNTIFS(TableFA2132[Project],TableFA2132[[#This Row],[Project]],TableFA2132[Program],TableFA2132[[#This Row],[Program]])</f>
        <v>3</v>
      </c>
      <c r="L100" s="10">
        <f>COUNTIFS(TableFA2132[Project],TableFA2132[[#This Row],[Project]])</f>
        <v>3</v>
      </c>
      <c r="M100"/>
      <c r="N100"/>
      <c r="O100"/>
      <c r="P100" t="s">
        <v>36</v>
      </c>
      <c r="Q100" t="s">
        <v>36</v>
      </c>
      <c r="R100" t="s">
        <v>36</v>
      </c>
      <c r="S100" t="s">
        <v>36</v>
      </c>
      <c r="T100" t="s">
        <v>36</v>
      </c>
      <c r="U100" t="s">
        <v>36</v>
      </c>
      <c r="V100" t="s">
        <v>36</v>
      </c>
      <c r="W100" t="s">
        <v>36</v>
      </c>
      <c r="X100" s="5" t="s">
        <v>36</v>
      </c>
      <c r="Y100" t="s">
        <v>36</v>
      </c>
      <c r="Z100" t="s">
        <v>36</v>
      </c>
      <c r="AA100" t="s">
        <v>36</v>
      </c>
      <c r="AB100" t="s">
        <v>36</v>
      </c>
      <c r="AC100"/>
    </row>
    <row r="101" spans="1:29" x14ac:dyDescent="0.2">
      <c r="A101" s="3" t="s">
        <v>256</v>
      </c>
      <c r="B101" s="3" t="s">
        <v>257</v>
      </c>
      <c r="C101" s="3" t="s">
        <v>31</v>
      </c>
      <c r="D101" s="3" t="s">
        <v>32</v>
      </c>
      <c r="E101" s="3" t="s">
        <v>33</v>
      </c>
      <c r="F101" s="10" t="s">
        <v>258</v>
      </c>
      <c r="G101" s="10" t="str">
        <f>_xlfn.XLOOKUP(TableFA2132[[#This Row],[Project]],Projects[Project],Projects[Full Name],"")</f>
        <v>Paola Montejo</v>
      </c>
      <c r="H101" s="10" t="str">
        <f>_xlfn.XLOOKUP(TableFA2132[[#This Row],[Project]],Projects[Project],Projects[Work Email (no gmail/hotmail/etc.)],"")</f>
        <v>pmont079@fiu.edu</v>
      </c>
      <c r="I101" s="10" t="str">
        <f>_xlfn.XLOOKUP(TableFA2132[[#This Row],[Project]],Projects[Project],Projects[Affiliation (Company/University/Place of Work)],"")</f>
        <v>Florida International University</v>
      </c>
      <c r="J101" s="10" t="str">
        <f>_xlfn.XLOOKUP(TableFA2132[[#This Row],[Project]],Projects[Project],Projects[Job Title],"")</f>
        <v>Capstone 2 Student</v>
      </c>
      <c r="K101" s="10">
        <f>COUNTIFS(TableFA2132[Project],TableFA2132[[#This Row],[Project]],TableFA2132[Program],TableFA2132[[#This Row],[Program]])</f>
        <v>5</v>
      </c>
      <c r="L101" s="10">
        <f>COUNTIFS(TableFA2132[Project],TableFA2132[[#This Row],[Project]])</f>
        <v>5</v>
      </c>
      <c r="M101" s="3" t="s">
        <v>35</v>
      </c>
      <c r="N101" s="3"/>
      <c r="O101" s="3"/>
      <c r="P101" s="3" t="s">
        <v>36</v>
      </c>
      <c r="Q101" s="3" t="s">
        <v>36</v>
      </c>
      <c r="R101" s="3" t="s">
        <v>36</v>
      </c>
      <c r="S101" s="3" t="s">
        <v>36</v>
      </c>
      <c r="T101" s="3" t="s">
        <v>36</v>
      </c>
      <c r="U101" s="3" t="s">
        <v>36</v>
      </c>
      <c r="V101" s="3" t="s">
        <v>36</v>
      </c>
      <c r="W101" s="3" t="s">
        <v>36</v>
      </c>
      <c r="X101" s="21" t="s">
        <v>36</v>
      </c>
      <c r="Y101" s="3" t="s">
        <v>36</v>
      </c>
      <c r="Z101" s="3" t="s">
        <v>36</v>
      </c>
      <c r="AA101" s="3" t="s">
        <v>36</v>
      </c>
      <c r="AB101" s="3" t="s">
        <v>36</v>
      </c>
      <c r="AC101" s="3" t="s">
        <v>36</v>
      </c>
    </row>
    <row r="102" spans="1:29" s="3" customFormat="1" x14ac:dyDescent="0.2">
      <c r="A102" t="s">
        <v>259</v>
      </c>
      <c r="B102" t="s">
        <v>260</v>
      </c>
      <c r="C102" t="s">
        <v>31</v>
      </c>
      <c r="D102" t="s">
        <v>32</v>
      </c>
      <c r="E102" t="s">
        <v>33</v>
      </c>
      <c r="F102" s="1" t="s">
        <v>258</v>
      </c>
      <c r="G102" s="1" t="str">
        <f>_xlfn.XLOOKUP(TableFA2132[[#This Row],[Project]],Projects[Project],Projects[Full Name],"")</f>
        <v>Paola Montejo</v>
      </c>
      <c r="H102" s="1" t="str">
        <f>_xlfn.XLOOKUP(TableFA2132[[#This Row],[Project]],Projects[Project],Projects[Work Email (no gmail/hotmail/etc.)],"")</f>
        <v>pmont079@fiu.edu</v>
      </c>
      <c r="I102" s="1" t="str">
        <f>_xlfn.XLOOKUP(TableFA2132[[#This Row],[Project]],Projects[Project],Projects[Affiliation (Company/University/Place of Work)],"")</f>
        <v>Florida International University</v>
      </c>
      <c r="J102" s="1" t="str">
        <f>_xlfn.XLOOKUP(TableFA2132[[#This Row],[Project]],Projects[Project],Projects[Job Title],"")</f>
        <v>Capstone 2 Student</v>
      </c>
      <c r="K102" s="10">
        <f>COUNTIFS(TableFA2132[Project],TableFA2132[[#This Row],[Project]],TableFA2132[Program],TableFA2132[[#This Row],[Program]])</f>
        <v>5</v>
      </c>
      <c r="L102" s="10">
        <f>COUNTIFS(TableFA2132[Project],TableFA2132[[#This Row],[Project]])</f>
        <v>5</v>
      </c>
      <c r="M102"/>
      <c r="N102"/>
      <c r="O102"/>
      <c r="P102" t="s">
        <v>36</v>
      </c>
      <c r="Q102" t="s">
        <v>36</v>
      </c>
      <c r="R102" t="s">
        <v>36</v>
      </c>
      <c r="S102" t="s">
        <v>36</v>
      </c>
      <c r="T102" t="s">
        <v>36</v>
      </c>
      <c r="U102" t="s">
        <v>36</v>
      </c>
      <c r="V102" t="s">
        <v>36</v>
      </c>
      <c r="W102" t="s">
        <v>36</v>
      </c>
      <c r="X102" s="5" t="s">
        <v>36</v>
      </c>
      <c r="Y102" t="s">
        <v>36</v>
      </c>
      <c r="Z102" t="s">
        <v>36</v>
      </c>
      <c r="AA102" t="s">
        <v>36</v>
      </c>
      <c r="AB102" t="s">
        <v>36</v>
      </c>
      <c r="AC102" t="s">
        <v>36</v>
      </c>
    </row>
    <row r="103" spans="1:29" x14ac:dyDescent="0.2">
      <c r="A103" t="s">
        <v>261</v>
      </c>
      <c r="B103" t="s">
        <v>262</v>
      </c>
      <c r="C103" t="s">
        <v>31</v>
      </c>
      <c r="D103" t="s">
        <v>32</v>
      </c>
      <c r="E103" t="s">
        <v>33</v>
      </c>
      <c r="F103" s="1" t="s">
        <v>258</v>
      </c>
      <c r="G103" s="1" t="str">
        <f>_xlfn.XLOOKUP(TableFA2132[[#This Row],[Project]],Projects[Project],Projects[Full Name],"")</f>
        <v>Paola Montejo</v>
      </c>
      <c r="H103" s="1" t="str">
        <f>_xlfn.XLOOKUP(TableFA2132[[#This Row],[Project]],Projects[Project],Projects[Work Email (no gmail/hotmail/etc.)],"")</f>
        <v>pmont079@fiu.edu</v>
      </c>
      <c r="I103" s="1" t="str">
        <f>_xlfn.XLOOKUP(TableFA2132[[#This Row],[Project]],Projects[Project],Projects[Affiliation (Company/University/Place of Work)],"")</f>
        <v>Florida International University</v>
      </c>
      <c r="J103" s="1" t="str">
        <f>_xlfn.XLOOKUP(TableFA2132[[#This Row],[Project]],Projects[Project],Projects[Job Title],"")</f>
        <v>Capstone 2 Student</v>
      </c>
      <c r="K103" s="10">
        <f>COUNTIFS(TableFA2132[Project],TableFA2132[[#This Row],[Project]],TableFA2132[Program],TableFA2132[[#This Row],[Program]])</f>
        <v>5</v>
      </c>
      <c r="L103" s="10">
        <f>COUNTIFS(TableFA2132[Project],TableFA2132[[#This Row],[Project]])</f>
        <v>5</v>
      </c>
      <c r="P103" t="s">
        <v>36</v>
      </c>
      <c r="Q103" t="s">
        <v>36</v>
      </c>
      <c r="R103" t="s">
        <v>36</v>
      </c>
      <c r="S103" t="s">
        <v>36</v>
      </c>
      <c r="T103" t="s">
        <v>36</v>
      </c>
      <c r="U103" t="s">
        <v>36</v>
      </c>
      <c r="V103" t="s">
        <v>36</v>
      </c>
      <c r="W103" t="s">
        <v>36</v>
      </c>
      <c r="X103" s="5" t="s">
        <v>36</v>
      </c>
      <c r="Y103" t="s">
        <v>36</v>
      </c>
      <c r="Z103" t="s">
        <v>36</v>
      </c>
      <c r="AA103" t="s">
        <v>36</v>
      </c>
      <c r="AB103" t="s">
        <v>36</v>
      </c>
      <c r="AC103" t="s">
        <v>36</v>
      </c>
    </row>
    <row r="104" spans="1:29" x14ac:dyDescent="0.2">
      <c r="A104" t="s">
        <v>263</v>
      </c>
      <c r="B104" t="s">
        <v>264</v>
      </c>
      <c r="C104" t="s">
        <v>31</v>
      </c>
      <c r="D104" t="s">
        <v>32</v>
      </c>
      <c r="E104" t="s">
        <v>33</v>
      </c>
      <c r="F104" s="1" t="s">
        <v>258</v>
      </c>
      <c r="G104" s="1" t="str">
        <f>_xlfn.XLOOKUP(TableFA2132[[#This Row],[Project]],Projects[Project],Projects[Full Name],"")</f>
        <v>Paola Montejo</v>
      </c>
      <c r="H104" s="1" t="str">
        <f>_xlfn.XLOOKUP(TableFA2132[[#This Row],[Project]],Projects[Project],Projects[Work Email (no gmail/hotmail/etc.)],"")</f>
        <v>pmont079@fiu.edu</v>
      </c>
      <c r="I104" s="1" t="str">
        <f>_xlfn.XLOOKUP(TableFA2132[[#This Row],[Project]],Projects[Project],Projects[Affiliation (Company/University/Place of Work)],"")</f>
        <v>Florida International University</v>
      </c>
      <c r="J104" s="1" t="str">
        <f>_xlfn.XLOOKUP(TableFA2132[[#This Row],[Project]],Projects[Project],Projects[Job Title],"")</f>
        <v>Capstone 2 Student</v>
      </c>
      <c r="K104" s="10">
        <f>COUNTIFS(TableFA2132[Project],TableFA2132[[#This Row],[Project]],TableFA2132[Program],TableFA2132[[#This Row],[Program]])</f>
        <v>5</v>
      </c>
      <c r="L104" s="10">
        <f>COUNTIFS(TableFA2132[Project],TableFA2132[[#This Row],[Project]])</f>
        <v>5</v>
      </c>
      <c r="P104" t="s">
        <v>36</v>
      </c>
      <c r="Q104" t="s">
        <v>36</v>
      </c>
      <c r="R104" t="s">
        <v>36</v>
      </c>
      <c r="S104" t="s">
        <v>36</v>
      </c>
      <c r="T104" t="s">
        <v>36</v>
      </c>
      <c r="U104" t="s">
        <v>36</v>
      </c>
      <c r="V104" t="s">
        <v>36</v>
      </c>
      <c r="W104" t="s">
        <v>36</v>
      </c>
      <c r="X104" s="5" t="s">
        <v>36</v>
      </c>
      <c r="Y104" t="s">
        <v>36</v>
      </c>
      <c r="Z104" t="s">
        <v>36</v>
      </c>
      <c r="AA104" t="s">
        <v>36</v>
      </c>
      <c r="AB104" t="s">
        <v>36</v>
      </c>
      <c r="AC104" t="s">
        <v>36</v>
      </c>
    </row>
    <row r="105" spans="1:29" x14ac:dyDescent="0.2">
      <c r="A105" t="s">
        <v>265</v>
      </c>
      <c r="B105" t="s">
        <v>266</v>
      </c>
      <c r="C105" t="s">
        <v>31</v>
      </c>
      <c r="D105" t="s">
        <v>32</v>
      </c>
      <c r="E105" t="s">
        <v>33</v>
      </c>
      <c r="F105" s="1" t="s">
        <v>258</v>
      </c>
      <c r="G105" s="1" t="str">
        <f>_xlfn.XLOOKUP(TableFA2132[[#This Row],[Project]],Projects[Project],Projects[Full Name],"")</f>
        <v>Paola Montejo</v>
      </c>
      <c r="H105" s="1" t="str">
        <f>_xlfn.XLOOKUP(TableFA2132[[#This Row],[Project]],Projects[Project],Projects[Work Email (no gmail/hotmail/etc.)],"")</f>
        <v>pmont079@fiu.edu</v>
      </c>
      <c r="I105" s="1" t="str">
        <f>_xlfn.XLOOKUP(TableFA2132[[#This Row],[Project]],Projects[Project],Projects[Affiliation (Company/University/Place of Work)],"")</f>
        <v>Florida International University</v>
      </c>
      <c r="J105" s="1" t="str">
        <f>_xlfn.XLOOKUP(TableFA2132[[#This Row],[Project]],Projects[Project],Projects[Job Title],"")</f>
        <v>Capstone 2 Student</v>
      </c>
      <c r="K105" s="10">
        <f>COUNTIFS(TableFA2132[Project],TableFA2132[[#This Row],[Project]],TableFA2132[Program],TableFA2132[[#This Row],[Program]])</f>
        <v>5</v>
      </c>
      <c r="L105" s="10">
        <f>COUNTIFS(TableFA2132[Project],TableFA2132[[#This Row],[Project]])</f>
        <v>5</v>
      </c>
      <c r="P105" t="s">
        <v>36</v>
      </c>
      <c r="Q105" t="s">
        <v>36</v>
      </c>
      <c r="R105" t="s">
        <v>36</v>
      </c>
      <c r="S105" t="s">
        <v>36</v>
      </c>
      <c r="T105" t="s">
        <v>36</v>
      </c>
      <c r="U105" t="s">
        <v>36</v>
      </c>
      <c r="V105" t="s">
        <v>36</v>
      </c>
      <c r="W105" t="s">
        <v>36</v>
      </c>
      <c r="X105" s="5" t="s">
        <v>36</v>
      </c>
      <c r="Y105" t="s">
        <v>36</v>
      </c>
      <c r="Z105" t="s">
        <v>36</v>
      </c>
      <c r="AA105" t="s">
        <v>36</v>
      </c>
      <c r="AB105" t="s">
        <v>36</v>
      </c>
      <c r="AC105" t="s">
        <v>36</v>
      </c>
    </row>
    <row r="106" spans="1:29" x14ac:dyDescent="0.2">
      <c r="A106" t="s">
        <v>267</v>
      </c>
      <c r="B106" s="3" t="s">
        <v>268</v>
      </c>
      <c r="C106" s="3" t="s">
        <v>31</v>
      </c>
      <c r="D106" s="3" t="s">
        <v>32</v>
      </c>
      <c r="E106" t="s">
        <v>33</v>
      </c>
      <c r="F106" s="10" t="s">
        <v>269</v>
      </c>
      <c r="G106" s="1" t="str">
        <f>_xlfn.XLOOKUP(TableFA2132[[#This Row],[Project]],Projects[Project],Projects[Full Name],"")</f>
        <v>Josue Quinonez</v>
      </c>
      <c r="H106" s="1" t="str">
        <f>_xlfn.XLOOKUP(TableFA2132[[#This Row],[Project]],Projects[Project],Projects[Work Email (no gmail/hotmail/etc.)],"")</f>
        <v>jquin229@fiu.edu</v>
      </c>
      <c r="I106" s="1" t="str">
        <f>_xlfn.XLOOKUP(TableFA2132[[#This Row],[Project]],Projects[Project],Projects[Affiliation (Company/University/Place of Work)],"")</f>
        <v>Florida International University</v>
      </c>
      <c r="J106" s="1" t="str">
        <f>_xlfn.XLOOKUP(TableFA2132[[#This Row],[Project]],Projects[Project],Projects[Job Title],"")</f>
        <v>Capstone 2 Student</v>
      </c>
      <c r="K106" s="10">
        <f>COUNTIFS(TableFA2132[Project],TableFA2132[[#This Row],[Project]],TableFA2132[Program],TableFA2132[[#This Row],[Program]])</f>
        <v>5</v>
      </c>
      <c r="L106" s="10">
        <f>COUNTIFS(TableFA2132[Project],TableFA2132[[#This Row],[Project]])</f>
        <v>5</v>
      </c>
      <c r="M106" s="3" t="s">
        <v>35</v>
      </c>
      <c r="N106" s="3"/>
      <c r="O106" s="3"/>
      <c r="P106" s="3" t="s">
        <v>36</v>
      </c>
      <c r="Q106" s="3" t="s">
        <v>36</v>
      </c>
      <c r="R106" s="3" t="s">
        <v>36</v>
      </c>
      <c r="S106" s="3" t="s">
        <v>36</v>
      </c>
      <c r="T106" s="3" t="s">
        <v>36</v>
      </c>
      <c r="U106" s="3" t="s">
        <v>36</v>
      </c>
      <c r="V106" s="3" t="s">
        <v>36</v>
      </c>
      <c r="W106" s="3" t="s">
        <v>36</v>
      </c>
      <c r="X106" s="21" t="s">
        <v>36</v>
      </c>
      <c r="Y106" s="3" t="s">
        <v>36</v>
      </c>
      <c r="Z106" s="3" t="s">
        <v>36</v>
      </c>
      <c r="AA106" s="3" t="s">
        <v>36</v>
      </c>
      <c r="AB106" s="3"/>
      <c r="AC106" s="3"/>
    </row>
    <row r="107" spans="1:29" x14ac:dyDescent="0.2">
      <c r="A107" t="s">
        <v>270</v>
      </c>
      <c r="B107" t="s">
        <v>271</v>
      </c>
      <c r="C107" t="s">
        <v>31</v>
      </c>
      <c r="D107" t="s">
        <v>32</v>
      </c>
      <c r="E107" t="s">
        <v>33</v>
      </c>
      <c r="F107" s="1" t="s">
        <v>269</v>
      </c>
      <c r="G107" s="1" t="str">
        <f>_xlfn.XLOOKUP(TableFA2132[[#This Row],[Project]],Projects[Project],Projects[Full Name],"")</f>
        <v>Josue Quinonez</v>
      </c>
      <c r="H107" s="1" t="str">
        <f>_xlfn.XLOOKUP(TableFA2132[[#This Row],[Project]],Projects[Project],Projects[Work Email (no gmail/hotmail/etc.)],"")</f>
        <v>jquin229@fiu.edu</v>
      </c>
      <c r="I107" s="1" t="str">
        <f>_xlfn.XLOOKUP(TableFA2132[[#This Row],[Project]],Projects[Project],Projects[Affiliation (Company/University/Place of Work)],"")</f>
        <v>Florida International University</v>
      </c>
      <c r="J107" s="1" t="str">
        <f>_xlfn.XLOOKUP(TableFA2132[[#This Row],[Project]],Projects[Project],Projects[Job Title],"")</f>
        <v>Capstone 2 Student</v>
      </c>
      <c r="K107" s="10">
        <f>COUNTIFS(TableFA2132[Project],TableFA2132[[#This Row],[Project]],TableFA2132[Program],TableFA2132[[#This Row],[Program]])</f>
        <v>5</v>
      </c>
      <c r="L107" s="10">
        <f>COUNTIFS(TableFA2132[Project],TableFA2132[[#This Row],[Project]])</f>
        <v>5</v>
      </c>
      <c r="P107" t="s">
        <v>36</v>
      </c>
      <c r="Q107" t="s">
        <v>36</v>
      </c>
      <c r="R107" t="s">
        <v>36</v>
      </c>
      <c r="S107" t="s">
        <v>36</v>
      </c>
      <c r="T107" t="s">
        <v>36</v>
      </c>
      <c r="U107" t="s">
        <v>36</v>
      </c>
      <c r="V107" t="s">
        <v>36</v>
      </c>
      <c r="W107" t="s">
        <v>36</v>
      </c>
      <c r="X107" s="5" t="s">
        <v>36</v>
      </c>
      <c r="Y107" t="s">
        <v>36</v>
      </c>
      <c r="Z107" t="s">
        <v>36</v>
      </c>
      <c r="AA107" t="s">
        <v>36</v>
      </c>
    </row>
    <row r="108" spans="1:29" x14ac:dyDescent="0.2">
      <c r="A108" t="s">
        <v>272</v>
      </c>
      <c r="B108" t="s">
        <v>273</v>
      </c>
      <c r="C108" t="s">
        <v>31</v>
      </c>
      <c r="D108" t="s">
        <v>32</v>
      </c>
      <c r="E108" t="s">
        <v>33</v>
      </c>
      <c r="F108" s="1" t="s">
        <v>269</v>
      </c>
      <c r="G108" s="1" t="str">
        <f>_xlfn.XLOOKUP(TableFA2132[[#This Row],[Project]],Projects[Project],Projects[Full Name],"")</f>
        <v>Josue Quinonez</v>
      </c>
      <c r="H108" s="1" t="str">
        <f>_xlfn.XLOOKUP(TableFA2132[[#This Row],[Project]],Projects[Project],Projects[Work Email (no gmail/hotmail/etc.)],"")</f>
        <v>jquin229@fiu.edu</v>
      </c>
      <c r="I108" s="1" t="str">
        <f>_xlfn.XLOOKUP(TableFA2132[[#This Row],[Project]],Projects[Project],Projects[Affiliation (Company/University/Place of Work)],"")</f>
        <v>Florida International University</v>
      </c>
      <c r="J108" s="1" t="str">
        <f>_xlfn.XLOOKUP(TableFA2132[[#This Row],[Project]],Projects[Project],Projects[Job Title],"")</f>
        <v>Capstone 2 Student</v>
      </c>
      <c r="K108" s="10">
        <f>COUNTIFS(TableFA2132[Project],TableFA2132[[#This Row],[Project]],TableFA2132[Program],TableFA2132[[#This Row],[Program]])</f>
        <v>5</v>
      </c>
      <c r="L108" s="10">
        <f>COUNTIFS(TableFA2132[Project],TableFA2132[[#This Row],[Project]])</f>
        <v>5</v>
      </c>
      <c r="P108" t="s">
        <v>36</v>
      </c>
      <c r="Q108" t="s">
        <v>36</v>
      </c>
      <c r="R108" t="s">
        <v>36</v>
      </c>
      <c r="S108" t="s">
        <v>36</v>
      </c>
      <c r="T108" t="s">
        <v>36</v>
      </c>
      <c r="U108" t="s">
        <v>36</v>
      </c>
      <c r="V108" t="s">
        <v>36</v>
      </c>
      <c r="W108" t="s">
        <v>36</v>
      </c>
      <c r="X108" s="5" t="s">
        <v>36</v>
      </c>
      <c r="Y108" t="s">
        <v>36</v>
      </c>
      <c r="Z108" t="s">
        <v>36</v>
      </c>
      <c r="AA108" t="s">
        <v>36</v>
      </c>
    </row>
    <row r="109" spans="1:29" x14ac:dyDescent="0.2">
      <c r="A109" t="s">
        <v>274</v>
      </c>
      <c r="B109" t="s">
        <v>275</v>
      </c>
      <c r="C109" t="s">
        <v>31</v>
      </c>
      <c r="D109" t="s">
        <v>32</v>
      </c>
      <c r="E109" t="s">
        <v>33</v>
      </c>
      <c r="F109" s="1" t="s">
        <v>269</v>
      </c>
      <c r="G109" s="1" t="str">
        <f>_xlfn.XLOOKUP(TableFA2132[[#This Row],[Project]],Projects[Project],Projects[Full Name],"")</f>
        <v>Josue Quinonez</v>
      </c>
      <c r="H109" s="1" t="str">
        <f>_xlfn.XLOOKUP(TableFA2132[[#This Row],[Project]],Projects[Project],Projects[Work Email (no gmail/hotmail/etc.)],"")</f>
        <v>jquin229@fiu.edu</v>
      </c>
      <c r="I109" s="1" t="str">
        <f>_xlfn.XLOOKUP(TableFA2132[[#This Row],[Project]],Projects[Project],Projects[Affiliation (Company/University/Place of Work)],"")</f>
        <v>Florida International University</v>
      </c>
      <c r="J109" s="1" t="str">
        <f>_xlfn.XLOOKUP(TableFA2132[[#This Row],[Project]],Projects[Project],Projects[Job Title],"")</f>
        <v>Capstone 2 Student</v>
      </c>
      <c r="K109" s="10">
        <f>COUNTIFS(TableFA2132[Project],TableFA2132[[#This Row],[Project]],TableFA2132[Program],TableFA2132[[#This Row],[Program]])</f>
        <v>5</v>
      </c>
      <c r="L109" s="10">
        <f>COUNTIFS(TableFA2132[Project],TableFA2132[[#This Row],[Project]])</f>
        <v>5</v>
      </c>
      <c r="P109" t="s">
        <v>36</v>
      </c>
      <c r="Q109" t="s">
        <v>36</v>
      </c>
      <c r="R109" t="s">
        <v>36</v>
      </c>
      <c r="S109" t="s">
        <v>36</v>
      </c>
      <c r="T109" t="s">
        <v>36</v>
      </c>
      <c r="U109" t="s">
        <v>36</v>
      </c>
      <c r="V109" t="s">
        <v>36</v>
      </c>
      <c r="W109" t="s">
        <v>36</v>
      </c>
      <c r="X109" s="5" t="s">
        <v>36</v>
      </c>
      <c r="Y109" s="5" t="s">
        <v>36</v>
      </c>
      <c r="Z109" t="s">
        <v>36</v>
      </c>
      <c r="AA109" t="s">
        <v>36</v>
      </c>
    </row>
    <row r="110" spans="1:29" x14ac:dyDescent="0.2">
      <c r="A110" t="s">
        <v>276</v>
      </c>
      <c r="B110" t="s">
        <v>277</v>
      </c>
      <c r="C110" t="s">
        <v>31</v>
      </c>
      <c r="D110" t="s">
        <v>32</v>
      </c>
      <c r="E110" t="s">
        <v>33</v>
      </c>
      <c r="F110" s="1" t="s">
        <v>269</v>
      </c>
      <c r="G110" s="1" t="str">
        <f>_xlfn.XLOOKUP(TableFA2132[[#This Row],[Project]],Projects[Project],Projects[Full Name],"")</f>
        <v>Josue Quinonez</v>
      </c>
      <c r="H110" s="1" t="str">
        <f>_xlfn.XLOOKUP(TableFA2132[[#This Row],[Project]],Projects[Project],Projects[Work Email (no gmail/hotmail/etc.)],"")</f>
        <v>jquin229@fiu.edu</v>
      </c>
      <c r="I110" s="1" t="str">
        <f>_xlfn.XLOOKUP(TableFA2132[[#This Row],[Project]],Projects[Project],Projects[Affiliation (Company/University/Place of Work)],"")</f>
        <v>Florida International University</v>
      </c>
      <c r="J110" s="1" t="str">
        <f>_xlfn.XLOOKUP(TableFA2132[[#This Row],[Project]],Projects[Project],Projects[Job Title],"")</f>
        <v>Capstone 2 Student</v>
      </c>
      <c r="K110" s="10">
        <f>COUNTIFS(TableFA2132[Project],TableFA2132[[#This Row],[Project]],TableFA2132[Program],TableFA2132[[#This Row],[Program]])</f>
        <v>5</v>
      </c>
      <c r="L110" s="10">
        <f>COUNTIFS(TableFA2132[Project],TableFA2132[[#This Row],[Project]])</f>
        <v>5</v>
      </c>
      <c r="P110" t="s">
        <v>36</v>
      </c>
      <c r="Q110" t="s">
        <v>36</v>
      </c>
      <c r="R110" t="s">
        <v>36</v>
      </c>
      <c r="S110" t="s">
        <v>36</v>
      </c>
      <c r="T110" t="s">
        <v>36</v>
      </c>
      <c r="U110" t="s">
        <v>36</v>
      </c>
      <c r="V110" t="s">
        <v>36</v>
      </c>
      <c r="W110" t="s">
        <v>36</v>
      </c>
      <c r="X110" s="5" t="s">
        <v>36</v>
      </c>
      <c r="Y110" t="s">
        <v>36</v>
      </c>
      <c r="Z110" t="s">
        <v>36</v>
      </c>
      <c r="AA110" t="s">
        <v>36</v>
      </c>
    </row>
    <row r="111" spans="1:29" x14ac:dyDescent="0.2">
      <c r="A111" s="3" t="s">
        <v>278</v>
      </c>
      <c r="B111" s="3" t="s">
        <v>279</v>
      </c>
      <c r="C111" s="3" t="s">
        <v>31</v>
      </c>
      <c r="D111" s="3" t="s">
        <v>32</v>
      </c>
      <c r="E111" t="s">
        <v>33</v>
      </c>
      <c r="F111" s="10" t="s">
        <v>280</v>
      </c>
      <c r="G111" s="1" t="str">
        <f>_xlfn.XLOOKUP(TableFA2132[[#This Row],[Project]],Projects[Project],Projects[Full Name],"")</f>
        <v>Orkhan Fataliyev</v>
      </c>
      <c r="H111" s="1" t="str">
        <f>_xlfn.XLOOKUP(TableFA2132[[#This Row],[Project]],Projects[Project],Projects[Work Email (no gmail/hotmail/etc.)],"")</f>
        <v>ofata002@fiu.edu</v>
      </c>
      <c r="I111" s="1" t="str">
        <f>_xlfn.XLOOKUP(TableFA2132[[#This Row],[Project]],Projects[Project],Projects[Affiliation (Company/University/Place of Work)],"")</f>
        <v>Florida International University</v>
      </c>
      <c r="J111" s="1" t="str">
        <f>_xlfn.XLOOKUP(TableFA2132[[#This Row],[Project]],Projects[Project],Projects[Job Title],"")</f>
        <v>Capstone 2 Student</v>
      </c>
      <c r="K111" s="10">
        <f>COUNTIFS(TableFA2132[Project],TableFA2132[[#This Row],[Project]],TableFA2132[Program],TableFA2132[[#This Row],[Program]])</f>
        <v>5</v>
      </c>
      <c r="L111" s="10">
        <f>COUNTIFS(TableFA2132[Project],TableFA2132[[#This Row],[Project]])</f>
        <v>5</v>
      </c>
      <c r="M111" s="3" t="s">
        <v>35</v>
      </c>
      <c r="N111" s="3"/>
      <c r="O111" s="3"/>
      <c r="P111" s="3" t="s">
        <v>36</v>
      </c>
      <c r="Q111" s="3" t="s">
        <v>36</v>
      </c>
      <c r="R111" s="3" t="s">
        <v>36</v>
      </c>
      <c r="S111" s="3" t="s">
        <v>36</v>
      </c>
      <c r="T111" s="3" t="s">
        <v>36</v>
      </c>
      <c r="U111" s="3" t="s">
        <v>36</v>
      </c>
      <c r="V111" s="3" t="s">
        <v>36</v>
      </c>
      <c r="W111" s="3" t="s">
        <v>36</v>
      </c>
      <c r="X111" s="21" t="s">
        <v>36</v>
      </c>
      <c r="Y111" s="3" t="s">
        <v>36</v>
      </c>
      <c r="Z111" s="3" t="s">
        <v>36</v>
      </c>
      <c r="AA111" s="3" t="s">
        <v>36</v>
      </c>
      <c r="AB111" s="3"/>
      <c r="AC111" s="3"/>
    </row>
    <row r="112" spans="1:29" x14ac:dyDescent="0.2">
      <c r="A112" t="s">
        <v>281</v>
      </c>
      <c r="B112" t="s">
        <v>282</v>
      </c>
      <c r="C112" t="s">
        <v>31</v>
      </c>
      <c r="D112" t="s">
        <v>32</v>
      </c>
      <c r="E112" t="s">
        <v>33</v>
      </c>
      <c r="F112" s="26" t="s">
        <v>280</v>
      </c>
      <c r="G112" s="1" t="str">
        <f>_xlfn.XLOOKUP(TableFA2132[[#This Row],[Project]],Projects[Project],Projects[Full Name],"")</f>
        <v>Orkhan Fataliyev</v>
      </c>
      <c r="H112" s="1" t="str">
        <f>_xlfn.XLOOKUP(TableFA2132[[#This Row],[Project]],Projects[Project],Projects[Work Email (no gmail/hotmail/etc.)],"")</f>
        <v>ofata002@fiu.edu</v>
      </c>
      <c r="I112" s="1" t="str">
        <f>_xlfn.XLOOKUP(TableFA2132[[#This Row],[Project]],Projects[Project],Projects[Affiliation (Company/University/Place of Work)],"")</f>
        <v>Florida International University</v>
      </c>
      <c r="J112" s="1" t="str">
        <f>_xlfn.XLOOKUP(TableFA2132[[#This Row],[Project]],Projects[Project],Projects[Job Title],"")</f>
        <v>Capstone 2 Student</v>
      </c>
      <c r="K112" s="10">
        <f>COUNTIFS(TableFA2132[Project],TableFA2132[[#This Row],[Project]],TableFA2132[Program],TableFA2132[[#This Row],[Program]])</f>
        <v>5</v>
      </c>
      <c r="L112" s="10">
        <f>COUNTIFS(TableFA2132[Project],TableFA2132[[#This Row],[Project]])</f>
        <v>5</v>
      </c>
      <c r="P112" t="s">
        <v>36</v>
      </c>
      <c r="Q112" t="s">
        <v>36</v>
      </c>
      <c r="R112" t="s">
        <v>36</v>
      </c>
      <c r="S112" t="s">
        <v>36</v>
      </c>
      <c r="T112" t="s">
        <v>36</v>
      </c>
      <c r="U112" t="s">
        <v>36</v>
      </c>
      <c r="V112" t="s">
        <v>36</v>
      </c>
      <c r="W112" t="s">
        <v>36</v>
      </c>
      <c r="X112" s="5" t="s">
        <v>36</v>
      </c>
      <c r="Y112" t="s">
        <v>36</v>
      </c>
      <c r="Z112" t="s">
        <v>36</v>
      </c>
      <c r="AA112" t="s">
        <v>36</v>
      </c>
    </row>
    <row r="113" spans="1:29" x14ac:dyDescent="0.2">
      <c r="A113" t="s">
        <v>283</v>
      </c>
      <c r="B113" t="s">
        <v>284</v>
      </c>
      <c r="C113" t="s">
        <v>31</v>
      </c>
      <c r="D113" t="s">
        <v>32</v>
      </c>
      <c r="E113" t="s">
        <v>33</v>
      </c>
      <c r="F113" s="1" t="s">
        <v>280</v>
      </c>
      <c r="G113" s="1" t="str">
        <f>_xlfn.XLOOKUP(TableFA2132[[#This Row],[Project]],Projects[Project],Projects[Full Name],"")</f>
        <v>Orkhan Fataliyev</v>
      </c>
      <c r="H113" s="1" t="str">
        <f>_xlfn.XLOOKUP(TableFA2132[[#This Row],[Project]],Projects[Project],Projects[Work Email (no gmail/hotmail/etc.)],"")</f>
        <v>ofata002@fiu.edu</v>
      </c>
      <c r="I113" s="1" t="str">
        <f>_xlfn.XLOOKUP(TableFA2132[[#This Row],[Project]],Projects[Project],Projects[Affiliation (Company/University/Place of Work)],"")</f>
        <v>Florida International University</v>
      </c>
      <c r="J113" s="1" t="str">
        <f>_xlfn.XLOOKUP(TableFA2132[[#This Row],[Project]],Projects[Project],Projects[Job Title],"")</f>
        <v>Capstone 2 Student</v>
      </c>
      <c r="K113" s="10">
        <f>COUNTIFS(TableFA2132[Project],TableFA2132[[#This Row],[Project]],TableFA2132[Program],TableFA2132[[#This Row],[Program]])</f>
        <v>5</v>
      </c>
      <c r="L113" s="10">
        <f>COUNTIFS(TableFA2132[Project],TableFA2132[[#This Row],[Project]])</f>
        <v>5</v>
      </c>
      <c r="P113" t="s">
        <v>36</v>
      </c>
      <c r="Q113" t="s">
        <v>36</v>
      </c>
      <c r="R113" t="s">
        <v>36</v>
      </c>
      <c r="S113" t="s">
        <v>36</v>
      </c>
      <c r="T113" t="s">
        <v>36</v>
      </c>
      <c r="U113" t="s">
        <v>36</v>
      </c>
      <c r="V113" t="s">
        <v>36</v>
      </c>
      <c r="W113" t="s">
        <v>36</v>
      </c>
      <c r="X113" s="35" t="s">
        <v>36</v>
      </c>
      <c r="Y113" t="s">
        <v>36</v>
      </c>
      <c r="Z113" t="s">
        <v>36</v>
      </c>
      <c r="AA113" t="s">
        <v>36</v>
      </c>
    </row>
    <row r="114" spans="1:29" s="2" customFormat="1" x14ac:dyDescent="0.2">
      <c r="A114" t="s">
        <v>285</v>
      </c>
      <c r="B114" t="s">
        <v>286</v>
      </c>
      <c r="C114" t="s">
        <v>31</v>
      </c>
      <c r="D114" t="s">
        <v>32</v>
      </c>
      <c r="E114" t="s">
        <v>33</v>
      </c>
      <c r="F114" s="1" t="s">
        <v>280</v>
      </c>
      <c r="G114" s="1" t="str">
        <f>_xlfn.XLOOKUP(TableFA2132[[#This Row],[Project]],Projects[Project],Projects[Full Name],"")</f>
        <v>Orkhan Fataliyev</v>
      </c>
      <c r="H114" s="1" t="str">
        <f>_xlfn.XLOOKUP(TableFA2132[[#This Row],[Project]],Projects[Project],Projects[Work Email (no gmail/hotmail/etc.)],"")</f>
        <v>ofata002@fiu.edu</v>
      </c>
      <c r="I114" s="1" t="str">
        <f>_xlfn.XLOOKUP(TableFA2132[[#This Row],[Project]],Projects[Project],Projects[Affiliation (Company/University/Place of Work)],"")</f>
        <v>Florida International University</v>
      </c>
      <c r="J114" s="1" t="str">
        <f>_xlfn.XLOOKUP(TableFA2132[[#This Row],[Project]],Projects[Project],Projects[Job Title],"")</f>
        <v>Capstone 2 Student</v>
      </c>
      <c r="K114" s="10">
        <f>COUNTIFS(TableFA2132[Project],TableFA2132[[#This Row],[Project]],TableFA2132[Program],TableFA2132[[#This Row],[Program]])</f>
        <v>5</v>
      </c>
      <c r="L114" s="10">
        <f>COUNTIFS(TableFA2132[Project],TableFA2132[[#This Row],[Project]])</f>
        <v>5</v>
      </c>
      <c r="M114"/>
      <c r="N114"/>
      <c r="O114"/>
      <c r="P114" t="s">
        <v>36</v>
      </c>
      <c r="Q114" t="s">
        <v>36</v>
      </c>
      <c r="R114" t="s">
        <v>36</v>
      </c>
      <c r="S114" t="s">
        <v>36</v>
      </c>
      <c r="T114" t="s">
        <v>36</v>
      </c>
      <c r="U114" t="s">
        <v>36</v>
      </c>
      <c r="V114" t="s">
        <v>36</v>
      </c>
      <c r="W114" t="s">
        <v>36</v>
      </c>
      <c r="X114" s="5" t="s">
        <v>36</v>
      </c>
      <c r="Y114" t="s">
        <v>36</v>
      </c>
      <c r="Z114" t="s">
        <v>36</v>
      </c>
      <c r="AA114" t="s">
        <v>36</v>
      </c>
      <c r="AB114"/>
      <c r="AC114"/>
    </row>
    <row r="115" spans="1:29" x14ac:dyDescent="0.2">
      <c r="A115" t="s">
        <v>287</v>
      </c>
      <c r="B115" t="s">
        <v>288</v>
      </c>
      <c r="C115" t="s">
        <v>31</v>
      </c>
      <c r="D115" t="s">
        <v>32</v>
      </c>
      <c r="E115" t="s">
        <v>33</v>
      </c>
      <c r="F115" s="1" t="s">
        <v>280</v>
      </c>
      <c r="G115" s="1" t="str">
        <f>_xlfn.XLOOKUP(TableFA2132[[#This Row],[Project]],Projects[Project],Projects[Full Name],"")</f>
        <v>Orkhan Fataliyev</v>
      </c>
      <c r="H115" s="1" t="str">
        <f>_xlfn.XLOOKUP(TableFA2132[[#This Row],[Project]],Projects[Project],Projects[Work Email (no gmail/hotmail/etc.)],"")</f>
        <v>ofata002@fiu.edu</v>
      </c>
      <c r="I115" s="1" t="str">
        <f>_xlfn.XLOOKUP(TableFA2132[[#This Row],[Project]],Projects[Project],Projects[Affiliation (Company/University/Place of Work)],"")</f>
        <v>Florida International University</v>
      </c>
      <c r="J115" s="1" t="str">
        <f>_xlfn.XLOOKUP(TableFA2132[[#This Row],[Project]],Projects[Project],Projects[Job Title],"")</f>
        <v>Capstone 2 Student</v>
      </c>
      <c r="K115" s="10">
        <f>COUNTIFS(TableFA2132[Project],TableFA2132[[#This Row],[Project]],TableFA2132[Program],TableFA2132[[#This Row],[Program]])</f>
        <v>5</v>
      </c>
      <c r="L115" s="10">
        <f>COUNTIFS(TableFA2132[Project],TableFA2132[[#This Row],[Project]])</f>
        <v>5</v>
      </c>
      <c r="P115" t="s">
        <v>36</v>
      </c>
      <c r="Q115" t="s">
        <v>36</v>
      </c>
      <c r="R115" t="s">
        <v>36</v>
      </c>
      <c r="S115" t="s">
        <v>36</v>
      </c>
      <c r="T115" t="s">
        <v>36</v>
      </c>
      <c r="U115" t="s">
        <v>36</v>
      </c>
      <c r="V115" t="s">
        <v>36</v>
      </c>
      <c r="W115" t="s">
        <v>36</v>
      </c>
      <c r="X115" s="5" t="s">
        <v>36</v>
      </c>
      <c r="Y115" t="s">
        <v>36</v>
      </c>
      <c r="Z115" t="s">
        <v>36</v>
      </c>
      <c r="AA115" t="s">
        <v>36</v>
      </c>
    </row>
    <row r="116" spans="1:29" x14ac:dyDescent="0.2">
      <c r="A116" s="3" t="s">
        <v>289</v>
      </c>
      <c r="B116" s="3" t="s">
        <v>290</v>
      </c>
      <c r="C116" s="3" t="s">
        <v>31</v>
      </c>
      <c r="D116" s="3" t="s">
        <v>32</v>
      </c>
      <c r="E116" t="s">
        <v>33</v>
      </c>
      <c r="F116" s="10" t="s">
        <v>291</v>
      </c>
      <c r="G116" s="1" t="str">
        <f>_xlfn.XLOOKUP(TableFA2132[[#This Row],[Project]],Projects[Project],Projects[Full Name],"")</f>
        <v>Alessandra Ortega</v>
      </c>
      <c r="H116" s="1" t="str">
        <f>_xlfn.XLOOKUP(TableFA2132[[#This Row],[Project]],Projects[Project],Projects[Work Email (no gmail/hotmail/etc.)],"")</f>
        <v>aorte138@fiu.edu</v>
      </c>
      <c r="I116" s="1" t="str">
        <f>_xlfn.XLOOKUP(TableFA2132[[#This Row],[Project]],Projects[Project],Projects[Affiliation (Company/University/Place of Work)],"")</f>
        <v>Florida International University</v>
      </c>
      <c r="J116" s="1" t="str">
        <f>_xlfn.XLOOKUP(TableFA2132[[#This Row],[Project]],Projects[Project],Projects[Job Title],"")</f>
        <v>Capstone 2 Student</v>
      </c>
      <c r="K116" s="10">
        <f>COUNTIFS(TableFA2132[Project],TableFA2132[[#This Row],[Project]],TableFA2132[Program],TableFA2132[[#This Row],[Program]])</f>
        <v>5</v>
      </c>
      <c r="L116" s="10">
        <f>COUNTIFS(TableFA2132[Project],TableFA2132[[#This Row],[Project]])</f>
        <v>5</v>
      </c>
      <c r="M116" s="3" t="s">
        <v>35</v>
      </c>
      <c r="N116" s="3"/>
      <c r="O116" s="3"/>
      <c r="P116" s="3" t="s">
        <v>36</v>
      </c>
      <c r="Q116" s="3" t="s">
        <v>36</v>
      </c>
      <c r="R116" s="3" t="s">
        <v>36</v>
      </c>
      <c r="S116" s="3" t="s">
        <v>36</v>
      </c>
      <c r="T116" s="3" t="s">
        <v>36</v>
      </c>
      <c r="U116" s="3" t="s">
        <v>36</v>
      </c>
      <c r="V116" s="3" t="s">
        <v>36</v>
      </c>
      <c r="W116" s="3" t="s">
        <v>36</v>
      </c>
      <c r="X116" s="21" t="s">
        <v>36</v>
      </c>
      <c r="Y116" s="3" t="s">
        <v>36</v>
      </c>
      <c r="Z116" s="3" t="s">
        <v>36</v>
      </c>
      <c r="AA116" s="3" t="s">
        <v>36</v>
      </c>
      <c r="AB116" s="3" t="s">
        <v>36</v>
      </c>
      <c r="AC116" s="3" t="s">
        <v>36</v>
      </c>
    </row>
    <row r="117" spans="1:29" x14ac:dyDescent="0.2">
      <c r="A117" t="s">
        <v>292</v>
      </c>
      <c r="B117" t="s">
        <v>293</v>
      </c>
      <c r="C117" t="s">
        <v>31</v>
      </c>
      <c r="D117" t="s">
        <v>32</v>
      </c>
      <c r="E117" t="s">
        <v>33</v>
      </c>
      <c r="F117" s="1" t="s">
        <v>291</v>
      </c>
      <c r="G117" s="1" t="str">
        <f>_xlfn.XLOOKUP(TableFA2132[[#This Row],[Project]],Projects[Project],Projects[Full Name],"")</f>
        <v>Alessandra Ortega</v>
      </c>
      <c r="H117" s="1" t="str">
        <f>_xlfn.XLOOKUP(TableFA2132[[#This Row],[Project]],Projects[Project],Projects[Work Email (no gmail/hotmail/etc.)],"")</f>
        <v>aorte138@fiu.edu</v>
      </c>
      <c r="I117" s="1" t="str">
        <f>_xlfn.XLOOKUP(TableFA2132[[#This Row],[Project]],Projects[Project],Projects[Affiliation (Company/University/Place of Work)],"")</f>
        <v>Florida International University</v>
      </c>
      <c r="J117" s="1" t="str">
        <f>_xlfn.XLOOKUP(TableFA2132[[#This Row],[Project]],Projects[Project],Projects[Job Title],"")</f>
        <v>Capstone 2 Student</v>
      </c>
      <c r="K117" s="10">
        <f>COUNTIFS(TableFA2132[Project],TableFA2132[[#This Row],[Project]],TableFA2132[Program],TableFA2132[[#This Row],[Program]])</f>
        <v>5</v>
      </c>
      <c r="L117" s="10">
        <f>COUNTIFS(TableFA2132[Project],TableFA2132[[#This Row],[Project]])</f>
        <v>5</v>
      </c>
      <c r="P117" t="s">
        <v>36</v>
      </c>
      <c r="Q117" t="s">
        <v>36</v>
      </c>
      <c r="R117" t="s">
        <v>36</v>
      </c>
      <c r="S117" t="s">
        <v>36</v>
      </c>
      <c r="T117" t="s">
        <v>36</v>
      </c>
      <c r="U117" t="s">
        <v>36</v>
      </c>
      <c r="V117" t="s">
        <v>36</v>
      </c>
      <c r="W117" t="s">
        <v>36</v>
      </c>
      <c r="X117" s="5" t="s">
        <v>36</v>
      </c>
      <c r="Y117" s="5" t="s">
        <v>36</v>
      </c>
      <c r="Z117" t="s">
        <v>36</v>
      </c>
      <c r="AA117" t="s">
        <v>36</v>
      </c>
      <c r="AB117" t="s">
        <v>36</v>
      </c>
      <c r="AC117" t="s">
        <v>36</v>
      </c>
    </row>
    <row r="118" spans="1:29" s="2" customFormat="1" x14ac:dyDescent="0.2">
      <c r="A118" t="s">
        <v>294</v>
      </c>
      <c r="B118" t="s">
        <v>295</v>
      </c>
      <c r="C118" t="s">
        <v>31</v>
      </c>
      <c r="D118" t="s">
        <v>32</v>
      </c>
      <c r="E118" t="s">
        <v>33</v>
      </c>
      <c r="F118" s="1" t="s">
        <v>291</v>
      </c>
      <c r="G118" s="1" t="str">
        <f>_xlfn.XLOOKUP(TableFA2132[[#This Row],[Project]],Projects[Project],Projects[Full Name],"")</f>
        <v>Alessandra Ortega</v>
      </c>
      <c r="H118" s="1" t="str">
        <f>_xlfn.XLOOKUP(TableFA2132[[#This Row],[Project]],Projects[Project],Projects[Work Email (no gmail/hotmail/etc.)],"")</f>
        <v>aorte138@fiu.edu</v>
      </c>
      <c r="I118" s="1" t="str">
        <f>_xlfn.XLOOKUP(TableFA2132[[#This Row],[Project]],Projects[Project],Projects[Affiliation (Company/University/Place of Work)],"")</f>
        <v>Florida International University</v>
      </c>
      <c r="J118" s="1" t="str">
        <f>_xlfn.XLOOKUP(TableFA2132[[#This Row],[Project]],Projects[Project],Projects[Job Title],"")</f>
        <v>Capstone 2 Student</v>
      </c>
      <c r="K118" s="10">
        <f>COUNTIFS(TableFA2132[Project],TableFA2132[[#This Row],[Project]],TableFA2132[Program],TableFA2132[[#This Row],[Program]])</f>
        <v>5</v>
      </c>
      <c r="L118" s="10">
        <f>COUNTIFS(TableFA2132[Project],TableFA2132[[#This Row],[Project]])</f>
        <v>5</v>
      </c>
      <c r="M118"/>
      <c r="N118"/>
      <c r="O118"/>
      <c r="P118" t="s">
        <v>36</v>
      </c>
      <c r="Q118" t="s">
        <v>36</v>
      </c>
      <c r="R118" t="s">
        <v>36</v>
      </c>
      <c r="S118" t="s">
        <v>36</v>
      </c>
      <c r="T118" t="s">
        <v>36</v>
      </c>
      <c r="U118" t="s">
        <v>36</v>
      </c>
      <c r="V118" t="s">
        <v>36</v>
      </c>
      <c r="W118" t="s">
        <v>36</v>
      </c>
      <c r="X118" s="5" t="s">
        <v>36</v>
      </c>
      <c r="Y118" s="5" t="s">
        <v>36</v>
      </c>
      <c r="Z118" t="s">
        <v>36</v>
      </c>
      <c r="AA118" t="s">
        <v>36</v>
      </c>
      <c r="AB118" t="s">
        <v>36</v>
      </c>
      <c r="AC118" t="s">
        <v>36</v>
      </c>
    </row>
    <row r="119" spans="1:29" x14ac:dyDescent="0.2">
      <c r="A119" t="s">
        <v>296</v>
      </c>
      <c r="B119" t="s">
        <v>297</v>
      </c>
      <c r="C119" t="s">
        <v>31</v>
      </c>
      <c r="D119" t="s">
        <v>32</v>
      </c>
      <c r="E119" t="s">
        <v>33</v>
      </c>
      <c r="F119" s="24" t="s">
        <v>291</v>
      </c>
      <c r="G119" s="1" t="str">
        <f>_xlfn.XLOOKUP(TableFA2132[[#This Row],[Project]],Projects[Project],Projects[Full Name],"")</f>
        <v>Alessandra Ortega</v>
      </c>
      <c r="H119" s="1" t="str">
        <f>_xlfn.XLOOKUP(TableFA2132[[#This Row],[Project]],Projects[Project],Projects[Work Email (no gmail/hotmail/etc.)],"")</f>
        <v>aorte138@fiu.edu</v>
      </c>
      <c r="I119" s="1" t="str">
        <f>_xlfn.XLOOKUP(TableFA2132[[#This Row],[Project]],Projects[Project],Projects[Affiliation (Company/University/Place of Work)],"")</f>
        <v>Florida International University</v>
      </c>
      <c r="J119" s="1" t="str">
        <f>_xlfn.XLOOKUP(TableFA2132[[#This Row],[Project]],Projects[Project],Projects[Job Title],"")</f>
        <v>Capstone 2 Student</v>
      </c>
      <c r="K119" s="10">
        <f>COUNTIFS(TableFA2132[Project],TableFA2132[[#This Row],[Project]],TableFA2132[Program],TableFA2132[[#This Row],[Program]])</f>
        <v>5</v>
      </c>
      <c r="L119" s="10">
        <f>COUNTIFS(TableFA2132[Project],TableFA2132[[#This Row],[Project]])</f>
        <v>5</v>
      </c>
      <c r="P119" t="s">
        <v>36</v>
      </c>
      <c r="Q119" t="s">
        <v>36</v>
      </c>
      <c r="R119" t="s">
        <v>36</v>
      </c>
      <c r="S119" t="s">
        <v>36</v>
      </c>
      <c r="T119" t="s">
        <v>36</v>
      </c>
      <c r="U119" t="s">
        <v>36</v>
      </c>
      <c r="V119" t="s">
        <v>36</v>
      </c>
      <c r="W119" t="s">
        <v>36</v>
      </c>
      <c r="X119" s="5" t="s">
        <v>36</v>
      </c>
      <c r="Y119" s="5" t="s">
        <v>36</v>
      </c>
      <c r="Z119" t="s">
        <v>36</v>
      </c>
      <c r="AA119" t="s">
        <v>36</v>
      </c>
      <c r="AB119" t="s">
        <v>36</v>
      </c>
      <c r="AC119" t="s">
        <v>36</v>
      </c>
    </row>
    <row r="120" spans="1:29" x14ac:dyDescent="0.2">
      <c r="A120" t="s">
        <v>298</v>
      </c>
      <c r="B120" t="s">
        <v>299</v>
      </c>
      <c r="C120" t="s">
        <v>31</v>
      </c>
      <c r="D120" t="s">
        <v>32</v>
      </c>
      <c r="E120" t="s">
        <v>33</v>
      </c>
      <c r="F120" s="1" t="s">
        <v>291</v>
      </c>
      <c r="G120" s="1" t="str">
        <f>_xlfn.XLOOKUP(TableFA2132[[#This Row],[Project]],Projects[Project],Projects[Full Name],"")</f>
        <v>Alessandra Ortega</v>
      </c>
      <c r="H120" s="1" t="str">
        <f>_xlfn.XLOOKUP(TableFA2132[[#This Row],[Project]],Projects[Project],Projects[Work Email (no gmail/hotmail/etc.)],"")</f>
        <v>aorte138@fiu.edu</v>
      </c>
      <c r="I120" s="1" t="str">
        <f>_xlfn.XLOOKUP(TableFA2132[[#This Row],[Project]],Projects[Project],Projects[Affiliation (Company/University/Place of Work)],"")</f>
        <v>Florida International University</v>
      </c>
      <c r="J120" s="1" t="str">
        <f>_xlfn.XLOOKUP(TableFA2132[[#This Row],[Project]],Projects[Project],Projects[Job Title],"")</f>
        <v>Capstone 2 Student</v>
      </c>
      <c r="K120" s="10">
        <f>COUNTIFS(TableFA2132[Project],TableFA2132[[#This Row],[Project]],TableFA2132[Program],TableFA2132[[#This Row],[Program]])</f>
        <v>5</v>
      </c>
      <c r="L120" s="10">
        <f>COUNTIFS(TableFA2132[Project],TableFA2132[[#This Row],[Project]])</f>
        <v>5</v>
      </c>
      <c r="P120" t="s">
        <v>36</v>
      </c>
      <c r="Q120" t="s">
        <v>36</v>
      </c>
      <c r="R120" t="s">
        <v>36</v>
      </c>
      <c r="S120" t="s">
        <v>36</v>
      </c>
      <c r="T120" t="s">
        <v>36</v>
      </c>
      <c r="U120" t="s">
        <v>36</v>
      </c>
      <c r="V120" t="s">
        <v>36</v>
      </c>
      <c r="W120" t="s">
        <v>36</v>
      </c>
      <c r="X120" s="5" t="s">
        <v>36</v>
      </c>
      <c r="Y120" s="5" t="s">
        <v>36</v>
      </c>
      <c r="Z120" t="s">
        <v>36</v>
      </c>
      <c r="AA120" t="s">
        <v>36</v>
      </c>
      <c r="AB120" t="s">
        <v>36</v>
      </c>
      <c r="AC120" t="s">
        <v>36</v>
      </c>
    </row>
    <row r="121" spans="1:29" x14ac:dyDescent="0.2">
      <c r="A121" s="28" t="s">
        <v>300</v>
      </c>
      <c r="B121" s="3" t="s">
        <v>301</v>
      </c>
      <c r="C121" s="3" t="s">
        <v>31</v>
      </c>
      <c r="D121" s="3" t="s">
        <v>32</v>
      </c>
      <c r="E121" t="s">
        <v>33</v>
      </c>
      <c r="F121" s="10" t="s">
        <v>302</v>
      </c>
      <c r="G121" s="10" t="str">
        <f>_xlfn.XLOOKUP(TableFA2132[[#This Row],[Project]],Projects[Project],Projects[Full Name],"")</f>
        <v>Van Duc Nguyen</v>
      </c>
      <c r="H121" s="10" t="str">
        <f>_xlfn.XLOOKUP(TableFA2132[[#This Row],[Project]],Projects[Project],Projects[Work Email (no gmail/hotmail/etc.)],"")</f>
        <v>vnguy054@fiu.edu</v>
      </c>
      <c r="I121" s="10" t="str">
        <f>_xlfn.XLOOKUP(TableFA2132[[#This Row],[Project]],Projects[Project],Projects[Affiliation (Company/University/Place of Work)],"")</f>
        <v>Florida International University</v>
      </c>
      <c r="J121" s="10" t="str">
        <f>_xlfn.XLOOKUP(TableFA2132[[#This Row],[Project]],Projects[Project],Projects[Job Title],"")</f>
        <v>Capstone 2 Student</v>
      </c>
      <c r="K121" s="10">
        <f>COUNTIFS(TableFA2132[Project],TableFA2132[[#This Row],[Project]],TableFA2132[Program],TableFA2132[[#This Row],[Program]])</f>
        <v>4</v>
      </c>
      <c r="L121" s="10">
        <f>COUNTIFS(TableFA2132[Project],TableFA2132[[#This Row],[Project]])</f>
        <v>4</v>
      </c>
      <c r="M121" s="3" t="s">
        <v>35</v>
      </c>
      <c r="N121" s="3"/>
      <c r="O121" s="3"/>
      <c r="P121" s="3"/>
      <c r="Q121" s="3"/>
      <c r="R121" s="3"/>
      <c r="S121" s="3"/>
      <c r="T121" s="3"/>
      <c r="U121" s="3"/>
      <c r="V121" s="3"/>
      <c r="W121" s="3"/>
      <c r="X121" s="21"/>
      <c r="Y121" s="3"/>
      <c r="Z121" s="3"/>
      <c r="AA121" s="3"/>
      <c r="AB121" s="3"/>
      <c r="AC121" s="3"/>
    </row>
    <row r="122" spans="1:29" s="4" customFormat="1" x14ac:dyDescent="0.2">
      <c r="A122" t="s">
        <v>303</v>
      </c>
      <c r="B122" t="s">
        <v>304</v>
      </c>
      <c r="C122" t="s">
        <v>31</v>
      </c>
      <c r="D122" t="s">
        <v>32</v>
      </c>
      <c r="E122" t="s">
        <v>33</v>
      </c>
      <c r="F122" s="1" t="s">
        <v>302</v>
      </c>
      <c r="G122" s="1" t="str">
        <f>_xlfn.XLOOKUP(TableFA2132[[#This Row],[Project]],Projects[Project],Projects[Full Name],"")</f>
        <v>Van Duc Nguyen</v>
      </c>
      <c r="H122" s="1" t="str">
        <f>_xlfn.XLOOKUP(TableFA2132[[#This Row],[Project]],Projects[Project],Projects[Work Email (no gmail/hotmail/etc.)],"")</f>
        <v>vnguy054@fiu.edu</v>
      </c>
      <c r="I122" s="1" t="str">
        <f>_xlfn.XLOOKUP(TableFA2132[[#This Row],[Project]],Projects[Project],Projects[Affiliation (Company/University/Place of Work)],"")</f>
        <v>Florida International University</v>
      </c>
      <c r="J122" s="1" t="str">
        <f>_xlfn.XLOOKUP(TableFA2132[[#This Row],[Project]],Projects[Project],Projects[Job Title],"")</f>
        <v>Capstone 2 Student</v>
      </c>
      <c r="K122" s="10">
        <f>COUNTIFS(TableFA2132[Project],TableFA2132[[#This Row],[Project]],TableFA2132[Program],TableFA2132[[#This Row],[Program]])</f>
        <v>4</v>
      </c>
      <c r="L122" s="10">
        <f>COUNTIFS(TableFA2132[Project],TableFA2132[[#This Row],[Project]])</f>
        <v>4</v>
      </c>
      <c r="M122"/>
      <c r="N122"/>
      <c r="O122"/>
      <c r="P122"/>
      <c r="Q122"/>
      <c r="R122"/>
      <c r="S122"/>
      <c r="T122"/>
      <c r="U122"/>
      <c r="V122"/>
      <c r="W122"/>
      <c r="X122" s="5"/>
      <c r="Y122"/>
      <c r="Z122"/>
      <c r="AA122"/>
      <c r="AB122"/>
      <c r="AC122"/>
    </row>
    <row r="123" spans="1:29" x14ac:dyDescent="0.2">
      <c r="A123" t="s">
        <v>305</v>
      </c>
      <c r="B123" t="s">
        <v>306</v>
      </c>
      <c r="C123" t="s">
        <v>31</v>
      </c>
      <c r="D123" t="s">
        <v>32</v>
      </c>
      <c r="E123" t="s">
        <v>33</v>
      </c>
      <c r="F123" s="1" t="s">
        <v>302</v>
      </c>
      <c r="G123" s="1" t="str">
        <f>_xlfn.XLOOKUP(TableFA2132[[#This Row],[Project]],Projects[Project],Projects[Full Name],"")</f>
        <v>Van Duc Nguyen</v>
      </c>
      <c r="H123" s="1" t="str">
        <f>_xlfn.XLOOKUP(TableFA2132[[#This Row],[Project]],Projects[Project],Projects[Work Email (no gmail/hotmail/etc.)],"")</f>
        <v>vnguy054@fiu.edu</v>
      </c>
      <c r="I123" s="1" t="str">
        <f>_xlfn.XLOOKUP(TableFA2132[[#This Row],[Project]],Projects[Project],Projects[Affiliation (Company/University/Place of Work)],"")</f>
        <v>Florida International University</v>
      </c>
      <c r="J123" s="1" t="str">
        <f>_xlfn.XLOOKUP(TableFA2132[[#This Row],[Project]],Projects[Project],Projects[Job Title],"")</f>
        <v>Capstone 2 Student</v>
      </c>
      <c r="K123" s="10">
        <f>COUNTIFS(TableFA2132[Project],TableFA2132[[#This Row],[Project]],TableFA2132[Program],TableFA2132[[#This Row],[Program]])</f>
        <v>4</v>
      </c>
      <c r="L123" s="10">
        <f>COUNTIFS(TableFA2132[Project],TableFA2132[[#This Row],[Project]])</f>
        <v>4</v>
      </c>
      <c r="X123" s="5"/>
      <c r="Z123"/>
    </row>
    <row r="124" spans="1:29" x14ac:dyDescent="0.2">
      <c r="A124" t="s">
        <v>307</v>
      </c>
      <c r="B124" t="s">
        <v>308</v>
      </c>
      <c r="C124" t="s">
        <v>31</v>
      </c>
      <c r="D124" t="s">
        <v>32</v>
      </c>
      <c r="E124" t="s">
        <v>33</v>
      </c>
      <c r="F124" s="1" t="s">
        <v>302</v>
      </c>
      <c r="G124" s="1" t="str">
        <f>_xlfn.XLOOKUP(TableFA2132[[#This Row],[Project]],Projects[Project],Projects[Full Name],"")</f>
        <v>Van Duc Nguyen</v>
      </c>
      <c r="H124" s="1" t="str">
        <f>_xlfn.XLOOKUP(TableFA2132[[#This Row],[Project]],Projects[Project],Projects[Work Email (no gmail/hotmail/etc.)],"")</f>
        <v>vnguy054@fiu.edu</v>
      </c>
      <c r="I124" s="1" t="str">
        <f>_xlfn.XLOOKUP(TableFA2132[[#This Row],[Project]],Projects[Project],Projects[Affiliation (Company/University/Place of Work)],"")</f>
        <v>Florida International University</v>
      </c>
      <c r="J124" s="1" t="str">
        <f>_xlfn.XLOOKUP(TableFA2132[[#This Row],[Project]],Projects[Project],Projects[Job Title],"")</f>
        <v>Capstone 2 Student</v>
      </c>
      <c r="K124" s="10">
        <f>COUNTIFS(TableFA2132[Project],TableFA2132[[#This Row],[Project]],TableFA2132[Program],TableFA2132[[#This Row],[Program]])</f>
        <v>4</v>
      </c>
      <c r="L124" s="10">
        <f>COUNTIFS(TableFA2132[Project],TableFA2132[[#This Row],[Project]])</f>
        <v>4</v>
      </c>
      <c r="X124" s="5"/>
      <c r="Z124"/>
    </row>
    <row r="125" spans="1:29" s="2" customFormat="1" x14ac:dyDescent="0.2">
      <c r="A125" s="3" t="s">
        <v>309</v>
      </c>
      <c r="B125" s="3" t="s">
        <v>310</v>
      </c>
      <c r="C125" s="3" t="s">
        <v>31</v>
      </c>
      <c r="D125" s="3" t="s">
        <v>32</v>
      </c>
      <c r="E125" s="3" t="s">
        <v>33</v>
      </c>
      <c r="F125" s="30" t="s">
        <v>311</v>
      </c>
      <c r="G125" s="10" t="str">
        <f>_xlfn.XLOOKUP(TableFA2132[[#This Row],[Project]],Projects[Project],Projects[Full Name],"")</f>
        <v>Juan Mieses</v>
      </c>
      <c r="H125" s="10" t="str">
        <f>_xlfn.XLOOKUP(TableFA2132[[#This Row],[Project]],Projects[Project],Projects[Work Email (no gmail/hotmail/etc.)],"")</f>
        <v>jmies004@fiu.edu</v>
      </c>
      <c r="I125" s="10" t="str">
        <f>_xlfn.XLOOKUP(TableFA2132[[#This Row],[Project]],Projects[Project],Projects[Affiliation (Company/University/Place of Work)],"")</f>
        <v>Florida International University</v>
      </c>
      <c r="J125" s="10" t="str">
        <f>_xlfn.XLOOKUP(TableFA2132[[#This Row],[Project]],Projects[Project],Projects[Job Title],"")</f>
        <v>Capstone 2 Student</v>
      </c>
      <c r="K125" s="10">
        <f>COUNTIFS(TableFA2132[Project],TableFA2132[[#This Row],[Project]],TableFA2132[Program],TableFA2132[[#This Row],[Program]])</f>
        <v>5</v>
      </c>
      <c r="L125" s="10">
        <f>COUNTIFS(TableFA2132[Project],TableFA2132[[#This Row],[Project]])</f>
        <v>5</v>
      </c>
      <c r="M125" s="3" t="s">
        <v>35</v>
      </c>
      <c r="N125"/>
      <c r="O125"/>
      <c r="P125" s="3" t="s">
        <v>36</v>
      </c>
      <c r="Q125" s="3" t="s">
        <v>36</v>
      </c>
      <c r="R125" s="3" t="s">
        <v>36</v>
      </c>
      <c r="S125" s="3" t="s">
        <v>36</v>
      </c>
      <c r="T125" s="3" t="s">
        <v>36</v>
      </c>
      <c r="U125" s="3" t="s">
        <v>36</v>
      </c>
      <c r="V125" s="3" t="s">
        <v>36</v>
      </c>
      <c r="W125" s="3" t="s">
        <v>36</v>
      </c>
      <c r="X125" s="3" t="s">
        <v>36</v>
      </c>
      <c r="Y125" s="3" t="s">
        <v>36</v>
      </c>
      <c r="Z125"/>
      <c r="AA125"/>
      <c r="AB125"/>
      <c r="AC125"/>
    </row>
    <row r="126" spans="1:29" x14ac:dyDescent="0.2">
      <c r="A126" t="s">
        <v>312</v>
      </c>
      <c r="B126" t="s">
        <v>313</v>
      </c>
      <c r="C126" t="s">
        <v>31</v>
      </c>
      <c r="D126" t="s">
        <v>32</v>
      </c>
      <c r="E126" t="s">
        <v>33</v>
      </c>
      <c r="F126" s="31" t="s">
        <v>311</v>
      </c>
      <c r="G126" s="1" t="str">
        <f>_xlfn.XLOOKUP(TableFA2132[[#This Row],[Project]],Projects[Project],Projects[Full Name],"")</f>
        <v>Juan Mieses</v>
      </c>
      <c r="H126" s="1" t="str">
        <f>_xlfn.XLOOKUP(TableFA2132[[#This Row],[Project]],Projects[Project],Projects[Work Email (no gmail/hotmail/etc.)],"")</f>
        <v>jmies004@fiu.edu</v>
      </c>
      <c r="I126" s="1" t="str">
        <f>_xlfn.XLOOKUP(TableFA2132[[#This Row],[Project]],Projects[Project],Projects[Affiliation (Company/University/Place of Work)],"")</f>
        <v>Florida International University</v>
      </c>
      <c r="J126" s="1" t="str">
        <f>_xlfn.XLOOKUP(TableFA2132[[#This Row],[Project]],Projects[Project],Projects[Job Title],"")</f>
        <v>Capstone 2 Student</v>
      </c>
      <c r="K126" s="10">
        <f>COUNTIFS(TableFA2132[Project],TableFA2132[[#This Row],[Project]],TableFA2132[Program],TableFA2132[[#This Row],[Program]])</f>
        <v>5</v>
      </c>
      <c r="L126" s="10">
        <f>COUNTIFS(TableFA2132[Project],TableFA2132[[#This Row],[Project]])</f>
        <v>5</v>
      </c>
      <c r="P126" t="s">
        <v>36</v>
      </c>
      <c r="Q126" t="s">
        <v>36</v>
      </c>
      <c r="R126" t="s">
        <v>36</v>
      </c>
      <c r="S126" t="s">
        <v>36</v>
      </c>
      <c r="T126" t="s">
        <v>36</v>
      </c>
      <c r="U126" t="s">
        <v>36</v>
      </c>
      <c r="V126" t="s">
        <v>36</v>
      </c>
      <c r="W126" t="s">
        <v>36</v>
      </c>
      <c r="X126" t="s">
        <v>36</v>
      </c>
      <c r="Y126" t="s">
        <v>36</v>
      </c>
      <c r="Z126"/>
    </row>
    <row r="127" spans="1:29" x14ac:dyDescent="0.2">
      <c r="A127" t="s">
        <v>314</v>
      </c>
      <c r="B127" t="s">
        <v>315</v>
      </c>
      <c r="C127" t="s">
        <v>31</v>
      </c>
      <c r="D127" t="s">
        <v>32</v>
      </c>
      <c r="E127" t="s">
        <v>33</v>
      </c>
      <c r="F127" s="1" t="s">
        <v>311</v>
      </c>
      <c r="G127" s="1" t="str">
        <f>_xlfn.XLOOKUP(TableFA2132[[#This Row],[Project]],Projects[Project],Projects[Full Name],"")</f>
        <v>Juan Mieses</v>
      </c>
      <c r="H127" s="1" t="str">
        <f>_xlfn.XLOOKUP(TableFA2132[[#This Row],[Project]],Projects[Project],Projects[Work Email (no gmail/hotmail/etc.)],"")</f>
        <v>jmies004@fiu.edu</v>
      </c>
      <c r="I127" s="1" t="str">
        <f>_xlfn.XLOOKUP(TableFA2132[[#This Row],[Project]],Projects[Project],Projects[Affiliation (Company/University/Place of Work)],"")</f>
        <v>Florida International University</v>
      </c>
      <c r="J127" s="1" t="str">
        <f>_xlfn.XLOOKUP(TableFA2132[[#This Row],[Project]],Projects[Project],Projects[Job Title],"")</f>
        <v>Capstone 2 Student</v>
      </c>
      <c r="K127" s="10">
        <f>COUNTIFS(TableFA2132[Project],TableFA2132[[#This Row],[Project]],TableFA2132[Program],TableFA2132[[#This Row],[Program]])</f>
        <v>5</v>
      </c>
      <c r="L127" s="10">
        <f>COUNTIFS(TableFA2132[Project],TableFA2132[[#This Row],[Project]])</f>
        <v>5</v>
      </c>
      <c r="P127" t="s">
        <v>36</v>
      </c>
      <c r="Q127" t="s">
        <v>36</v>
      </c>
      <c r="R127" t="s">
        <v>36</v>
      </c>
      <c r="S127" t="s">
        <v>36</v>
      </c>
      <c r="T127" t="s">
        <v>36</v>
      </c>
      <c r="U127" t="s">
        <v>36</v>
      </c>
      <c r="V127" t="s">
        <v>36</v>
      </c>
      <c r="W127" t="s">
        <v>36</v>
      </c>
      <c r="X127" t="s">
        <v>36</v>
      </c>
      <c r="Y127" t="s">
        <v>36</v>
      </c>
      <c r="Z127"/>
    </row>
    <row r="128" spans="1:29" s="3" customFormat="1" x14ac:dyDescent="0.2">
      <c r="A128" t="s">
        <v>316</v>
      </c>
      <c r="B128" t="s">
        <v>317</v>
      </c>
      <c r="C128" t="s">
        <v>31</v>
      </c>
      <c r="D128" t="s">
        <v>32</v>
      </c>
      <c r="E128" t="s">
        <v>33</v>
      </c>
      <c r="F128" s="1" t="s">
        <v>311</v>
      </c>
      <c r="G128" s="1" t="str">
        <f>_xlfn.XLOOKUP(TableFA2132[[#This Row],[Project]],Projects[Project],Projects[Full Name],"")</f>
        <v>Juan Mieses</v>
      </c>
      <c r="H128" s="1" t="str">
        <f>_xlfn.XLOOKUP(TableFA2132[[#This Row],[Project]],Projects[Project],Projects[Work Email (no gmail/hotmail/etc.)],"")</f>
        <v>jmies004@fiu.edu</v>
      </c>
      <c r="I128" s="1" t="str">
        <f>_xlfn.XLOOKUP(TableFA2132[[#This Row],[Project]],Projects[Project],Projects[Affiliation (Company/University/Place of Work)],"")</f>
        <v>Florida International University</v>
      </c>
      <c r="J128" s="1" t="str">
        <f>_xlfn.XLOOKUP(TableFA2132[[#This Row],[Project]],Projects[Project],Projects[Job Title],"")</f>
        <v>Capstone 2 Student</v>
      </c>
      <c r="K128" s="10">
        <f>COUNTIFS(TableFA2132[Project],TableFA2132[[#This Row],[Project]],TableFA2132[Program],TableFA2132[[#This Row],[Program]])</f>
        <v>5</v>
      </c>
      <c r="L128" s="10">
        <f>COUNTIFS(TableFA2132[Project],TableFA2132[[#This Row],[Project]])</f>
        <v>5</v>
      </c>
      <c r="M128"/>
      <c r="N128"/>
      <c r="O128"/>
      <c r="P128" t="s">
        <v>36</v>
      </c>
      <c r="Q128" t="s">
        <v>36</v>
      </c>
      <c r="R128" t="s">
        <v>36</v>
      </c>
      <c r="S128" t="s">
        <v>36</v>
      </c>
      <c r="T128" t="s">
        <v>36</v>
      </c>
      <c r="U128" t="s">
        <v>36</v>
      </c>
      <c r="V128" t="s">
        <v>36</v>
      </c>
      <c r="W128" t="s">
        <v>36</v>
      </c>
      <c r="X128" t="s">
        <v>36</v>
      </c>
      <c r="Y128" t="s">
        <v>36</v>
      </c>
      <c r="Z128"/>
      <c r="AA128"/>
      <c r="AB128"/>
      <c r="AC128"/>
    </row>
    <row r="129" spans="1:29" s="3" customFormat="1" x14ac:dyDescent="0.2">
      <c r="A129" t="s">
        <v>318</v>
      </c>
      <c r="B129" t="s">
        <v>319</v>
      </c>
      <c r="C129" t="s">
        <v>31</v>
      </c>
      <c r="D129" t="s">
        <v>32</v>
      </c>
      <c r="E129" t="s">
        <v>33</v>
      </c>
      <c r="F129" s="27" t="s">
        <v>311</v>
      </c>
      <c r="G129" s="1" t="str">
        <f>_xlfn.XLOOKUP(TableFA2132[[#This Row],[Project]],Projects[Project],Projects[Full Name],"")</f>
        <v>Juan Mieses</v>
      </c>
      <c r="H129" s="1" t="str">
        <f>_xlfn.XLOOKUP(TableFA2132[[#This Row],[Project]],Projects[Project],Projects[Work Email (no gmail/hotmail/etc.)],"")</f>
        <v>jmies004@fiu.edu</v>
      </c>
      <c r="I129" s="1" t="str">
        <f>_xlfn.XLOOKUP(TableFA2132[[#This Row],[Project]],Projects[Project],Projects[Affiliation (Company/University/Place of Work)],"")</f>
        <v>Florida International University</v>
      </c>
      <c r="J129" s="1" t="str">
        <f>_xlfn.XLOOKUP(TableFA2132[[#This Row],[Project]],Projects[Project],Projects[Job Title],"")</f>
        <v>Capstone 2 Student</v>
      </c>
      <c r="K129" s="10">
        <f>COUNTIFS(TableFA2132[Project],TableFA2132[[#This Row],[Project]],TableFA2132[Program],TableFA2132[[#This Row],[Program]])</f>
        <v>5</v>
      </c>
      <c r="L129" s="10">
        <f>COUNTIFS(TableFA2132[Project],TableFA2132[[#This Row],[Project]])</f>
        <v>5</v>
      </c>
      <c r="M129"/>
      <c r="N129"/>
      <c r="O129"/>
      <c r="P129" t="s">
        <v>36</v>
      </c>
      <c r="Q129" t="s">
        <v>36</v>
      </c>
      <c r="R129" t="s">
        <v>36</v>
      </c>
      <c r="S129" t="s">
        <v>36</v>
      </c>
      <c r="T129" t="s">
        <v>36</v>
      </c>
      <c r="U129" t="s">
        <v>36</v>
      </c>
      <c r="V129" t="s">
        <v>36</v>
      </c>
      <c r="W129" t="s">
        <v>36</v>
      </c>
      <c r="X129" t="s">
        <v>36</v>
      </c>
      <c r="Y129" t="s">
        <v>36</v>
      </c>
      <c r="Z129"/>
      <c r="AA129"/>
      <c r="AB129"/>
      <c r="AC129"/>
    </row>
    <row r="130" spans="1:29" x14ac:dyDescent="0.2">
      <c r="A130" s="3" t="s">
        <v>320</v>
      </c>
      <c r="B130" s="3" t="s">
        <v>321</v>
      </c>
      <c r="C130" s="3" t="s">
        <v>31</v>
      </c>
      <c r="D130" s="3" t="s">
        <v>32</v>
      </c>
      <c r="E130" t="s">
        <v>33</v>
      </c>
      <c r="F130" s="10" t="s">
        <v>322</v>
      </c>
      <c r="G130" s="1" t="str">
        <f>_xlfn.XLOOKUP(TableFA2132[[#This Row],[Project]],Projects[Project],Projects[Full Name],"")</f>
        <v>Jorge Pereira</v>
      </c>
      <c r="H130" s="1" t="str">
        <f>_xlfn.XLOOKUP(TableFA2132[[#This Row],[Project]],Projects[Project],Projects[Work Email (no gmail/hotmail/etc.)],"")</f>
        <v>jpere1079@fiu.edu</v>
      </c>
      <c r="I130" s="1" t="str">
        <f>_xlfn.XLOOKUP(TableFA2132[[#This Row],[Project]],Projects[Project],Projects[Affiliation (Company/University/Place of Work)],"")</f>
        <v>Florida International University</v>
      </c>
      <c r="J130" s="1" t="str">
        <f>_xlfn.XLOOKUP(TableFA2132[[#This Row],[Project]],Projects[Project],Projects[Job Title],"")</f>
        <v>Capstone 2 Student</v>
      </c>
      <c r="K130" s="10">
        <f>COUNTIFS(TableFA2132[Project],TableFA2132[[#This Row],[Project]],TableFA2132[Program],TableFA2132[[#This Row],[Program]])</f>
        <v>4</v>
      </c>
      <c r="L130" s="10">
        <f>COUNTIFS(TableFA2132[Project],TableFA2132[[#This Row],[Project]])</f>
        <v>4</v>
      </c>
      <c r="M130" s="3" t="s">
        <v>35</v>
      </c>
      <c r="P130" s="3" t="s">
        <v>36</v>
      </c>
      <c r="Q130" s="3" t="s">
        <v>36</v>
      </c>
      <c r="R130" s="3" t="s">
        <v>36</v>
      </c>
      <c r="S130" s="3" t="s">
        <v>36</v>
      </c>
      <c r="T130" s="3" t="s">
        <v>36</v>
      </c>
      <c r="U130" s="3" t="s">
        <v>36</v>
      </c>
      <c r="V130" s="3" t="s">
        <v>36</v>
      </c>
      <c r="W130" s="3" t="s">
        <v>36</v>
      </c>
      <c r="X130" s="3" t="s">
        <v>36</v>
      </c>
      <c r="Z130"/>
    </row>
    <row r="131" spans="1:29" s="3" customFormat="1" x14ac:dyDescent="0.2">
      <c r="A131" t="s">
        <v>323</v>
      </c>
      <c r="B131" t="s">
        <v>324</v>
      </c>
      <c r="C131" t="s">
        <v>31</v>
      </c>
      <c r="D131" t="s">
        <v>32</v>
      </c>
      <c r="E131" t="s">
        <v>33</v>
      </c>
      <c r="F131" s="1" t="s">
        <v>322</v>
      </c>
      <c r="G131" s="1" t="str">
        <f>_xlfn.XLOOKUP(TableFA2132[[#This Row],[Project]],Projects[Project],Projects[Full Name],"")</f>
        <v>Jorge Pereira</v>
      </c>
      <c r="H131" s="1" t="str">
        <f>_xlfn.XLOOKUP(TableFA2132[[#This Row],[Project]],Projects[Project],Projects[Work Email (no gmail/hotmail/etc.)],"")</f>
        <v>jpere1079@fiu.edu</v>
      </c>
      <c r="I131" s="1" t="str">
        <f>_xlfn.XLOOKUP(TableFA2132[[#This Row],[Project]],Projects[Project],Projects[Affiliation (Company/University/Place of Work)],"")</f>
        <v>Florida International University</v>
      </c>
      <c r="J131" s="1" t="str">
        <f>_xlfn.XLOOKUP(TableFA2132[[#This Row],[Project]],Projects[Project],Projects[Job Title],"")</f>
        <v>Capstone 2 Student</v>
      </c>
      <c r="K131" s="10">
        <f>COUNTIFS(TableFA2132[Project],TableFA2132[[#This Row],[Project]],TableFA2132[Program],TableFA2132[[#This Row],[Program]])</f>
        <v>4</v>
      </c>
      <c r="L131" s="10">
        <f>COUNTIFS(TableFA2132[Project],TableFA2132[[#This Row],[Project]])</f>
        <v>4</v>
      </c>
      <c r="M131"/>
      <c r="N131"/>
      <c r="O131"/>
      <c r="P131" t="s">
        <v>36</v>
      </c>
      <c r="Q131" t="s">
        <v>36</v>
      </c>
      <c r="R131" t="s">
        <v>36</v>
      </c>
      <c r="S131" t="s">
        <v>36</v>
      </c>
      <c r="T131" t="s">
        <v>36</v>
      </c>
      <c r="U131" t="s">
        <v>36</v>
      </c>
      <c r="V131" t="s">
        <v>36</v>
      </c>
      <c r="W131" t="s">
        <v>36</v>
      </c>
      <c r="X131" t="s">
        <v>36</v>
      </c>
      <c r="Y131" s="20"/>
      <c r="Z131"/>
      <c r="AA131"/>
      <c r="AB131"/>
      <c r="AC131"/>
    </row>
    <row r="132" spans="1:29" s="3" customFormat="1" x14ac:dyDescent="0.2">
      <c r="A132" t="s">
        <v>325</v>
      </c>
      <c r="B132" t="s">
        <v>326</v>
      </c>
      <c r="C132" t="s">
        <v>31</v>
      </c>
      <c r="D132" t="s">
        <v>32</v>
      </c>
      <c r="E132" t="s">
        <v>33</v>
      </c>
      <c r="F132" s="1" t="s">
        <v>322</v>
      </c>
      <c r="G132" s="1" t="str">
        <f>_xlfn.XLOOKUP(TableFA2132[[#This Row],[Project]],Projects[Project],Projects[Full Name],"")</f>
        <v>Jorge Pereira</v>
      </c>
      <c r="H132" s="1" t="str">
        <f>_xlfn.XLOOKUP(TableFA2132[[#This Row],[Project]],Projects[Project],Projects[Work Email (no gmail/hotmail/etc.)],"")</f>
        <v>jpere1079@fiu.edu</v>
      </c>
      <c r="I132" s="1" t="str">
        <f>_xlfn.XLOOKUP(TableFA2132[[#This Row],[Project]],Projects[Project],Projects[Affiliation (Company/University/Place of Work)],"")</f>
        <v>Florida International University</v>
      </c>
      <c r="J132" s="1" t="str">
        <f>_xlfn.XLOOKUP(TableFA2132[[#This Row],[Project]],Projects[Project],Projects[Job Title],"")</f>
        <v>Capstone 2 Student</v>
      </c>
      <c r="K132" s="10">
        <f>COUNTIFS(TableFA2132[Project],TableFA2132[[#This Row],[Project]],TableFA2132[Program],TableFA2132[[#This Row],[Program]])</f>
        <v>4</v>
      </c>
      <c r="L132" s="10">
        <f>COUNTIFS(TableFA2132[Project],TableFA2132[[#This Row],[Project]])</f>
        <v>4</v>
      </c>
      <c r="M132"/>
      <c r="N132"/>
      <c r="O132"/>
      <c r="P132" t="s">
        <v>36</v>
      </c>
      <c r="Q132" t="s">
        <v>36</v>
      </c>
      <c r="R132" t="s">
        <v>36</v>
      </c>
      <c r="S132" t="s">
        <v>36</v>
      </c>
      <c r="T132" t="s">
        <v>36</v>
      </c>
      <c r="U132" t="s">
        <v>36</v>
      </c>
      <c r="V132" t="s">
        <v>36</v>
      </c>
      <c r="W132" t="s">
        <v>36</v>
      </c>
      <c r="X132" t="s">
        <v>36</v>
      </c>
      <c r="Y132"/>
      <c r="Z132"/>
      <c r="AA132"/>
      <c r="AB132"/>
      <c r="AC132"/>
    </row>
    <row r="133" spans="1:29" x14ac:dyDescent="0.2">
      <c r="A133" t="s">
        <v>327</v>
      </c>
      <c r="B133" t="s">
        <v>328</v>
      </c>
      <c r="C133" t="s">
        <v>31</v>
      </c>
      <c r="D133" t="s">
        <v>32</v>
      </c>
      <c r="E133" t="s">
        <v>33</v>
      </c>
      <c r="F133" s="1" t="s">
        <v>322</v>
      </c>
      <c r="G133" s="1" t="str">
        <f>_xlfn.XLOOKUP(TableFA2132[[#This Row],[Project]],Projects[Project],Projects[Full Name],"")</f>
        <v>Jorge Pereira</v>
      </c>
      <c r="H133" s="1" t="str">
        <f>_xlfn.XLOOKUP(TableFA2132[[#This Row],[Project]],Projects[Project],Projects[Work Email (no gmail/hotmail/etc.)],"")</f>
        <v>jpere1079@fiu.edu</v>
      </c>
      <c r="I133" s="1" t="str">
        <f>_xlfn.XLOOKUP(TableFA2132[[#This Row],[Project]],Projects[Project],Projects[Affiliation (Company/University/Place of Work)],"")</f>
        <v>Florida International University</v>
      </c>
      <c r="J133" s="1" t="str">
        <f>_xlfn.XLOOKUP(TableFA2132[[#This Row],[Project]],Projects[Project],Projects[Job Title],"")</f>
        <v>Capstone 2 Student</v>
      </c>
      <c r="K133" s="10">
        <f>COUNTIFS(TableFA2132[Project],TableFA2132[[#This Row],[Project]],TableFA2132[Program],TableFA2132[[#This Row],[Program]])</f>
        <v>4</v>
      </c>
      <c r="L133" s="10">
        <f>COUNTIFS(TableFA2132[Project],TableFA2132[[#This Row],[Project]])</f>
        <v>4</v>
      </c>
      <c r="P133" t="s">
        <v>36</v>
      </c>
      <c r="Q133" t="s">
        <v>36</v>
      </c>
      <c r="R133" t="s">
        <v>36</v>
      </c>
      <c r="S133" t="s">
        <v>36</v>
      </c>
      <c r="T133" t="s">
        <v>36</v>
      </c>
      <c r="U133" t="s">
        <v>36</v>
      </c>
      <c r="V133" t="s">
        <v>36</v>
      </c>
      <c r="W133" t="s">
        <v>36</v>
      </c>
      <c r="X133" t="s">
        <v>36</v>
      </c>
      <c r="Z133"/>
    </row>
    <row r="134" spans="1:29" x14ac:dyDescent="0.2">
      <c r="A134" t="s">
        <v>329</v>
      </c>
      <c r="B134" s="3" t="s">
        <v>330</v>
      </c>
      <c r="C134" s="3" t="s">
        <v>31</v>
      </c>
      <c r="D134" s="3" t="s">
        <v>32</v>
      </c>
      <c r="E134" t="s">
        <v>33</v>
      </c>
      <c r="F134" s="10" t="s">
        <v>331</v>
      </c>
      <c r="G134" s="1" t="str">
        <f>_xlfn.XLOOKUP(TableFA2132[[#This Row],[Project]],Projects[Project],Projects[Full Name],"")</f>
        <v>liane@hrrhvisionconsulting.com</v>
      </c>
      <c r="H134" s="1" t="str">
        <f>_xlfn.XLOOKUP(TableFA2132[[#This Row],[Project]],Projects[Project],Projects[Work Email (no gmail/hotmail/etc.)],"")</f>
        <v>liane@hrrhvisionconsulting.com</v>
      </c>
      <c r="I134" s="1" t="str">
        <f>_xlfn.XLOOKUP(TableFA2132[[#This Row],[Project]],Projects[Project],Projects[Affiliation (Company/University/Place of Work)],"")</f>
        <v>HR VISION CONSULTING</v>
      </c>
      <c r="J134" s="1" t="str">
        <f>_xlfn.XLOOKUP(TableFA2132[[#This Row],[Project]],Projects[Project],Projects[Job Title],"")</f>
        <v>CEO</v>
      </c>
      <c r="K134" s="10">
        <f>COUNTIFS(TableFA2132[Project],TableFA2132[[#This Row],[Project]],TableFA2132[Program],TableFA2132[[#This Row],[Program]])</f>
        <v>4</v>
      </c>
      <c r="L134" s="10">
        <f>COUNTIFS(TableFA2132[Project],TableFA2132[[#This Row],[Project]])</f>
        <v>4</v>
      </c>
      <c r="M134" s="3" t="s">
        <v>35</v>
      </c>
      <c r="N134" s="3"/>
      <c r="O134" s="3"/>
      <c r="P134" s="3" t="s">
        <v>36</v>
      </c>
      <c r="Q134" s="3" t="s">
        <v>36</v>
      </c>
      <c r="R134" s="3" t="s">
        <v>36</v>
      </c>
      <c r="S134" s="3" t="s">
        <v>36</v>
      </c>
      <c r="T134" s="3" t="s">
        <v>36</v>
      </c>
      <c r="U134" s="3" t="s">
        <v>36</v>
      </c>
      <c r="V134" s="3" t="s">
        <v>36</v>
      </c>
      <c r="W134" s="3" t="s">
        <v>36</v>
      </c>
      <c r="X134" s="21" t="s">
        <v>36</v>
      </c>
      <c r="Y134" s="3" t="s">
        <v>36</v>
      </c>
      <c r="Z134" s="3" t="s">
        <v>36</v>
      </c>
      <c r="AA134" s="3" t="s">
        <v>36</v>
      </c>
      <c r="AB134" s="3" t="s">
        <v>36</v>
      </c>
      <c r="AC134" s="38" t="s">
        <v>36</v>
      </c>
    </row>
    <row r="135" spans="1:29" x14ac:dyDescent="0.2">
      <c r="A135" t="s">
        <v>332</v>
      </c>
      <c r="B135" t="s">
        <v>333</v>
      </c>
      <c r="C135" t="s">
        <v>31</v>
      </c>
      <c r="D135" t="s">
        <v>32</v>
      </c>
      <c r="E135" t="s">
        <v>33</v>
      </c>
      <c r="F135" t="s">
        <v>331</v>
      </c>
      <c r="G135" s="1" t="str">
        <f>_xlfn.XLOOKUP(TableFA2132[[#This Row],[Project]],Projects[Project],Projects[Full Name],"")</f>
        <v>liane@hrrhvisionconsulting.com</v>
      </c>
      <c r="H135" s="1" t="str">
        <f>_xlfn.XLOOKUP(TableFA2132[[#This Row],[Project]],Projects[Project],Projects[Work Email (no gmail/hotmail/etc.)],"")</f>
        <v>liane@hrrhvisionconsulting.com</v>
      </c>
      <c r="I135" s="1" t="str">
        <f>_xlfn.XLOOKUP(TableFA2132[[#This Row],[Project]],Projects[Project],Projects[Affiliation (Company/University/Place of Work)],"")</f>
        <v>HR VISION CONSULTING</v>
      </c>
      <c r="J135" s="1" t="str">
        <f>_xlfn.XLOOKUP(TableFA2132[[#This Row],[Project]],Projects[Project],Projects[Job Title],"")</f>
        <v>CEO</v>
      </c>
      <c r="K135" s="10">
        <f>COUNTIFS(TableFA2132[Project],TableFA2132[[#This Row],[Project]],TableFA2132[Program],TableFA2132[[#This Row],[Program]])</f>
        <v>4</v>
      </c>
      <c r="L135" s="10">
        <f>COUNTIFS(TableFA2132[Project],TableFA2132[[#This Row],[Project]])</f>
        <v>4</v>
      </c>
      <c r="P135" t="s">
        <v>36</v>
      </c>
      <c r="Q135" t="s">
        <v>36</v>
      </c>
      <c r="R135" t="s">
        <v>36</v>
      </c>
      <c r="S135" t="s">
        <v>36</v>
      </c>
      <c r="T135" t="s">
        <v>36</v>
      </c>
      <c r="U135" t="s">
        <v>36</v>
      </c>
      <c r="V135" t="s">
        <v>36</v>
      </c>
      <c r="W135" t="s">
        <v>36</v>
      </c>
      <c r="X135" s="5" t="s">
        <v>36</v>
      </c>
      <c r="Y135" t="s">
        <v>36</v>
      </c>
      <c r="Z135" t="s">
        <v>36</v>
      </c>
      <c r="AA135" t="s">
        <v>36</v>
      </c>
      <c r="AB135" t="s">
        <v>36</v>
      </c>
      <c r="AC135" s="39" t="s">
        <v>36</v>
      </c>
    </row>
    <row r="136" spans="1:29" x14ac:dyDescent="0.2">
      <c r="A136" t="s">
        <v>334</v>
      </c>
      <c r="B136" t="s">
        <v>335</v>
      </c>
      <c r="C136" t="s">
        <v>31</v>
      </c>
      <c r="D136" t="s">
        <v>32</v>
      </c>
      <c r="E136" t="s">
        <v>33</v>
      </c>
      <c r="F136" s="1" t="s">
        <v>331</v>
      </c>
      <c r="G136" s="1" t="str">
        <f>_xlfn.XLOOKUP(TableFA2132[[#This Row],[Project]],Projects[Project],Projects[Full Name],"")</f>
        <v>liane@hrrhvisionconsulting.com</v>
      </c>
      <c r="H136" s="1" t="str">
        <f>_xlfn.XLOOKUP(TableFA2132[[#This Row],[Project]],Projects[Project],Projects[Work Email (no gmail/hotmail/etc.)],"")</f>
        <v>liane@hrrhvisionconsulting.com</v>
      </c>
      <c r="I136" s="1" t="str">
        <f>_xlfn.XLOOKUP(TableFA2132[[#This Row],[Project]],Projects[Project],Projects[Affiliation (Company/University/Place of Work)],"")</f>
        <v>HR VISION CONSULTING</v>
      </c>
      <c r="J136" s="1" t="str">
        <f>_xlfn.XLOOKUP(TableFA2132[[#This Row],[Project]],Projects[Project],Projects[Job Title],"")</f>
        <v>CEO</v>
      </c>
      <c r="K136" s="10">
        <f>COUNTIFS(TableFA2132[Project],TableFA2132[[#This Row],[Project]],TableFA2132[Program],TableFA2132[[#This Row],[Program]])</f>
        <v>4</v>
      </c>
      <c r="L136" s="10">
        <f>COUNTIFS(TableFA2132[Project],TableFA2132[[#This Row],[Project]])</f>
        <v>4</v>
      </c>
      <c r="P136" t="s">
        <v>36</v>
      </c>
      <c r="Q136" t="s">
        <v>36</v>
      </c>
      <c r="R136" t="s">
        <v>36</v>
      </c>
      <c r="S136" t="s">
        <v>36</v>
      </c>
      <c r="T136" t="s">
        <v>36</v>
      </c>
      <c r="U136" t="s">
        <v>36</v>
      </c>
      <c r="V136" t="s">
        <v>36</v>
      </c>
      <c r="W136" t="s">
        <v>36</v>
      </c>
      <c r="X136" s="5" t="s">
        <v>36</v>
      </c>
      <c r="Y136" t="s">
        <v>36</v>
      </c>
      <c r="Z136" t="s">
        <v>36</v>
      </c>
      <c r="AA136" t="s">
        <v>36</v>
      </c>
      <c r="AB136" t="s">
        <v>36</v>
      </c>
      <c r="AC136" s="39" t="s">
        <v>36</v>
      </c>
    </row>
    <row r="137" spans="1:29" x14ac:dyDescent="0.2">
      <c r="A137" s="11" t="s">
        <v>336</v>
      </c>
      <c r="B137" t="s">
        <v>337</v>
      </c>
      <c r="C137" t="s">
        <v>31</v>
      </c>
      <c r="D137" t="s">
        <v>32</v>
      </c>
      <c r="E137" t="s">
        <v>33</v>
      </c>
      <c r="F137" s="1" t="s">
        <v>331</v>
      </c>
      <c r="G137" s="1" t="str">
        <f>_xlfn.XLOOKUP(TableFA2132[[#This Row],[Project]],Projects[Project],Projects[Full Name],"")</f>
        <v>liane@hrrhvisionconsulting.com</v>
      </c>
      <c r="H137" s="1" t="str">
        <f>_xlfn.XLOOKUP(TableFA2132[[#This Row],[Project]],Projects[Project],Projects[Work Email (no gmail/hotmail/etc.)],"")</f>
        <v>liane@hrrhvisionconsulting.com</v>
      </c>
      <c r="I137" s="1" t="str">
        <f>_xlfn.XLOOKUP(TableFA2132[[#This Row],[Project]],Projects[Project],Projects[Affiliation (Company/University/Place of Work)],"")</f>
        <v>HR VISION CONSULTING</v>
      </c>
      <c r="J137" s="1" t="str">
        <f>_xlfn.XLOOKUP(TableFA2132[[#This Row],[Project]],Projects[Project],Projects[Job Title],"")</f>
        <v>CEO</v>
      </c>
      <c r="K137" s="10">
        <f>COUNTIFS(TableFA2132[Project],TableFA2132[[#This Row],[Project]],TableFA2132[Program],TableFA2132[[#This Row],[Program]])</f>
        <v>4</v>
      </c>
      <c r="L137" s="10">
        <f>COUNTIFS(TableFA2132[Project],TableFA2132[[#This Row],[Project]])</f>
        <v>4</v>
      </c>
      <c r="P137" t="s">
        <v>36</v>
      </c>
      <c r="Q137" t="s">
        <v>36</v>
      </c>
      <c r="R137" t="s">
        <v>36</v>
      </c>
      <c r="S137" t="s">
        <v>36</v>
      </c>
      <c r="T137" t="s">
        <v>36</v>
      </c>
      <c r="U137" t="s">
        <v>36</v>
      </c>
      <c r="V137" t="s">
        <v>36</v>
      </c>
      <c r="W137" t="s">
        <v>36</v>
      </c>
      <c r="X137" s="5" t="s">
        <v>36</v>
      </c>
      <c r="Y137" t="s">
        <v>36</v>
      </c>
      <c r="Z137" t="s">
        <v>36</v>
      </c>
      <c r="AA137" t="s">
        <v>36</v>
      </c>
      <c r="AB137" t="s">
        <v>36</v>
      </c>
      <c r="AC137" s="40" t="s">
        <v>36</v>
      </c>
    </row>
    <row r="138" spans="1:29" x14ac:dyDescent="0.2">
      <c r="A138" t="s">
        <v>338</v>
      </c>
      <c r="B138" s="3" t="s">
        <v>339</v>
      </c>
      <c r="C138" s="3" t="s">
        <v>31</v>
      </c>
      <c r="D138" s="3" t="s">
        <v>32</v>
      </c>
      <c r="E138" t="s">
        <v>33</v>
      </c>
      <c r="F138" s="10" t="s">
        <v>340</v>
      </c>
      <c r="G138" s="1" t="str">
        <f>_xlfn.XLOOKUP(TableFA2132[[#This Row],[Project]],Projects[Project],Projects[Full Name],"")</f>
        <v>Mohammad Naqvi</v>
      </c>
      <c r="H138" s="1" t="str">
        <f>_xlfn.XLOOKUP(TableFA2132[[#This Row],[Project]],Projects[Project],Projects[Work Email (no gmail/hotmail/etc.)],"")</f>
        <v>mnaqv002@fiu.edu</v>
      </c>
      <c r="I138" s="1" t="str">
        <f>_xlfn.XLOOKUP(TableFA2132[[#This Row],[Project]],Projects[Project],Projects[Affiliation (Company/University/Place of Work)],"")</f>
        <v>Florida International University</v>
      </c>
      <c r="J138" s="1" t="str">
        <f>_xlfn.XLOOKUP(TableFA2132[[#This Row],[Project]],Projects[Project],Projects[Job Title],"")</f>
        <v>Capstone 2 Student</v>
      </c>
      <c r="K138" s="10">
        <f>COUNTIFS(TableFA2132[Project],TableFA2132[[#This Row],[Project]],TableFA2132[Program],TableFA2132[[#This Row],[Program]])</f>
        <v>3</v>
      </c>
      <c r="L138" s="10">
        <f>COUNTIFS(TableFA2132[Project],TableFA2132[[#This Row],[Project]])</f>
        <v>3</v>
      </c>
      <c r="M138" s="3" t="s">
        <v>35</v>
      </c>
      <c r="N138" s="3"/>
      <c r="O138" s="3"/>
      <c r="P138" s="3" t="s">
        <v>36</v>
      </c>
      <c r="Q138" s="3" t="s">
        <v>36</v>
      </c>
      <c r="R138" s="3" t="s">
        <v>36</v>
      </c>
      <c r="S138" s="3" t="s">
        <v>36</v>
      </c>
      <c r="T138" s="3" t="s">
        <v>36</v>
      </c>
      <c r="U138" s="3" t="s">
        <v>36</v>
      </c>
      <c r="V138" s="3" t="s">
        <v>36</v>
      </c>
      <c r="W138" s="3" t="s">
        <v>36</v>
      </c>
      <c r="X138" s="3" t="s">
        <v>36</v>
      </c>
      <c r="Y138" s="3" t="s">
        <v>36</v>
      </c>
      <c r="Z138" s="3" t="s">
        <v>36</v>
      </c>
      <c r="AA138" s="3" t="s">
        <v>36</v>
      </c>
      <c r="AB138" s="3" t="s">
        <v>36</v>
      </c>
      <c r="AC138" s="3" t="s">
        <v>36</v>
      </c>
    </row>
    <row r="139" spans="1:29" x14ac:dyDescent="0.2">
      <c r="A139" t="s">
        <v>341</v>
      </c>
      <c r="B139" t="s">
        <v>342</v>
      </c>
      <c r="C139" t="s">
        <v>31</v>
      </c>
      <c r="D139" t="s">
        <v>32</v>
      </c>
      <c r="E139" t="s">
        <v>33</v>
      </c>
      <c r="F139" s="1" t="s">
        <v>340</v>
      </c>
      <c r="G139" s="1" t="str">
        <f>_xlfn.XLOOKUP(TableFA2132[[#This Row],[Project]],Projects[Project],Projects[Full Name],"")</f>
        <v>Mohammad Naqvi</v>
      </c>
      <c r="H139" s="1" t="str">
        <f>_xlfn.XLOOKUP(TableFA2132[[#This Row],[Project]],Projects[Project],Projects[Work Email (no gmail/hotmail/etc.)],"")</f>
        <v>mnaqv002@fiu.edu</v>
      </c>
      <c r="I139" s="1" t="str">
        <f>_xlfn.XLOOKUP(TableFA2132[[#This Row],[Project]],Projects[Project],Projects[Affiliation (Company/University/Place of Work)],"")</f>
        <v>Florida International University</v>
      </c>
      <c r="J139" s="1" t="str">
        <f>_xlfn.XLOOKUP(TableFA2132[[#This Row],[Project]],Projects[Project],Projects[Job Title],"")</f>
        <v>Capstone 2 Student</v>
      </c>
      <c r="K139" s="10">
        <f>COUNTIFS(TableFA2132[Project],TableFA2132[[#This Row],[Project]],TableFA2132[Program],TableFA2132[[#This Row],[Program]])</f>
        <v>3</v>
      </c>
      <c r="L139" s="10">
        <f>COUNTIFS(TableFA2132[Project],TableFA2132[[#This Row],[Project]])</f>
        <v>3</v>
      </c>
      <c r="P139" t="s">
        <v>36</v>
      </c>
      <c r="Q139" t="s">
        <v>36</v>
      </c>
      <c r="R139" t="s">
        <v>36</v>
      </c>
      <c r="S139" t="s">
        <v>36</v>
      </c>
      <c r="T139" t="s">
        <v>36</v>
      </c>
      <c r="U139" t="s">
        <v>36</v>
      </c>
      <c r="V139" t="s">
        <v>36</v>
      </c>
      <c r="W139" t="s">
        <v>36</v>
      </c>
      <c r="X139" t="s">
        <v>36</v>
      </c>
      <c r="Y139" t="s">
        <v>36</v>
      </c>
      <c r="Z139" t="s">
        <v>36</v>
      </c>
      <c r="AA139" t="s">
        <v>36</v>
      </c>
      <c r="AB139" t="s">
        <v>36</v>
      </c>
      <c r="AC139" t="s">
        <v>36</v>
      </c>
    </row>
    <row r="140" spans="1:29" x14ac:dyDescent="0.2">
      <c r="A140" t="s">
        <v>343</v>
      </c>
      <c r="B140" t="s">
        <v>344</v>
      </c>
      <c r="C140" t="s">
        <v>31</v>
      </c>
      <c r="D140" t="s">
        <v>32</v>
      </c>
      <c r="E140" t="s">
        <v>33</v>
      </c>
      <c r="F140" s="1" t="s">
        <v>340</v>
      </c>
      <c r="G140" s="1" t="str">
        <f>_xlfn.XLOOKUP(TableFA2132[[#This Row],[Project]],Projects[Project],Projects[Full Name],"")</f>
        <v>Mohammad Naqvi</v>
      </c>
      <c r="H140" s="1" t="str">
        <f>_xlfn.XLOOKUP(TableFA2132[[#This Row],[Project]],Projects[Project],Projects[Work Email (no gmail/hotmail/etc.)],"")</f>
        <v>mnaqv002@fiu.edu</v>
      </c>
      <c r="I140" s="1" t="str">
        <f>_xlfn.XLOOKUP(TableFA2132[[#This Row],[Project]],Projects[Project],Projects[Affiliation (Company/University/Place of Work)],"")</f>
        <v>Florida International University</v>
      </c>
      <c r="J140" s="1" t="str">
        <f>_xlfn.XLOOKUP(TableFA2132[[#This Row],[Project]],Projects[Project],Projects[Job Title],"")</f>
        <v>Capstone 2 Student</v>
      </c>
      <c r="K140" s="10">
        <f>COUNTIFS(TableFA2132[Project],TableFA2132[[#This Row],[Project]],TableFA2132[Program],TableFA2132[[#This Row],[Program]])</f>
        <v>3</v>
      </c>
      <c r="L140" s="10">
        <f>COUNTIFS(TableFA2132[Project],TableFA2132[[#This Row],[Project]])</f>
        <v>3</v>
      </c>
      <c r="P140" t="s">
        <v>36</v>
      </c>
      <c r="Q140" t="s">
        <v>36</v>
      </c>
      <c r="R140" t="s">
        <v>36</v>
      </c>
      <c r="S140" t="s">
        <v>36</v>
      </c>
      <c r="T140" t="s">
        <v>36</v>
      </c>
      <c r="U140" t="s">
        <v>36</v>
      </c>
      <c r="V140" t="s">
        <v>36</v>
      </c>
      <c r="W140" t="s">
        <v>36</v>
      </c>
      <c r="X140" t="s">
        <v>36</v>
      </c>
      <c r="Y140" t="s">
        <v>36</v>
      </c>
      <c r="Z140" t="s">
        <v>36</v>
      </c>
      <c r="AA140" t="s">
        <v>36</v>
      </c>
      <c r="AB140" t="s">
        <v>36</v>
      </c>
      <c r="AC140" t="s">
        <v>36</v>
      </c>
    </row>
    <row r="141" spans="1:29" x14ac:dyDescent="0.2">
      <c r="A141" t="s">
        <v>345</v>
      </c>
      <c r="B141" s="3" t="s">
        <v>346</v>
      </c>
      <c r="C141" s="3" t="s">
        <v>31</v>
      </c>
      <c r="D141" s="3" t="s">
        <v>32</v>
      </c>
      <c r="E141" t="s">
        <v>33</v>
      </c>
      <c r="F141" s="10" t="s">
        <v>347</v>
      </c>
      <c r="G141" s="10" t="str">
        <f>_xlfn.XLOOKUP(TableFA2132[[#This Row],[Project]],Projects[Project],Projects[Full Name],"")</f>
        <v>Rickny Sanon</v>
      </c>
      <c r="H141" s="10" t="str">
        <f>_xlfn.XLOOKUP(TableFA2132[[#This Row],[Project]],Projects[Project],Projects[Work Email (no gmail/hotmail/etc.)],"")</f>
        <v>Rsano008@fiu.edu</v>
      </c>
      <c r="I141" s="10" t="str">
        <f>_xlfn.XLOOKUP(TableFA2132[[#This Row],[Project]],Projects[Project],Projects[Affiliation (Company/University/Place of Work)],"")</f>
        <v>Florida International University</v>
      </c>
      <c r="J141" s="10" t="str">
        <f>_xlfn.XLOOKUP(TableFA2132[[#This Row],[Project]],Projects[Project],Projects[Job Title],"")</f>
        <v>Capstone 2 Student</v>
      </c>
      <c r="K141" s="10">
        <f>COUNTIFS(TableFA2132[Project],TableFA2132[[#This Row],[Project]],TableFA2132[Program],TableFA2132[[#This Row],[Program]])</f>
        <v>4</v>
      </c>
      <c r="L141" s="10">
        <f>COUNTIFS(TableFA2132[Project],TableFA2132[[#This Row],[Project]])</f>
        <v>4</v>
      </c>
      <c r="M141" s="3" t="s">
        <v>35</v>
      </c>
      <c r="N141" s="3"/>
      <c r="O141" s="3"/>
      <c r="P141" s="3" t="s">
        <v>36</v>
      </c>
      <c r="Q141" s="3" t="s">
        <v>36</v>
      </c>
      <c r="R141" s="3" t="s">
        <v>36</v>
      </c>
      <c r="S141" s="3" t="s">
        <v>36</v>
      </c>
      <c r="T141" s="3" t="s">
        <v>36</v>
      </c>
      <c r="U141" s="3" t="s">
        <v>36</v>
      </c>
      <c r="V141" s="3" t="s">
        <v>36</v>
      </c>
      <c r="W141" s="3" t="s">
        <v>36</v>
      </c>
      <c r="X141" s="3" t="s">
        <v>36</v>
      </c>
      <c r="Y141" s="3" t="s">
        <v>36</v>
      </c>
      <c r="Z141" s="3" t="s">
        <v>36</v>
      </c>
      <c r="AA141" s="3" t="s">
        <v>36</v>
      </c>
      <c r="AB141" s="3" t="s">
        <v>36</v>
      </c>
      <c r="AC141" s="3" t="s">
        <v>36</v>
      </c>
    </row>
    <row r="142" spans="1:29" x14ac:dyDescent="0.2">
      <c r="A142" t="s">
        <v>348</v>
      </c>
      <c r="B142" t="s">
        <v>349</v>
      </c>
      <c r="C142" t="s">
        <v>31</v>
      </c>
      <c r="D142" t="s">
        <v>32</v>
      </c>
      <c r="E142" t="s">
        <v>33</v>
      </c>
      <c r="F142" s="1" t="s">
        <v>347</v>
      </c>
      <c r="G142" s="1" t="str">
        <f>_xlfn.XLOOKUP(TableFA2132[[#This Row],[Project]],Projects[Project],Projects[Full Name],"")</f>
        <v>Rickny Sanon</v>
      </c>
      <c r="H142" s="1" t="str">
        <f>_xlfn.XLOOKUP(TableFA2132[[#This Row],[Project]],Projects[Project],Projects[Work Email (no gmail/hotmail/etc.)],"")</f>
        <v>Rsano008@fiu.edu</v>
      </c>
      <c r="I142" s="1" t="str">
        <f>_xlfn.XLOOKUP(TableFA2132[[#This Row],[Project]],Projects[Project],Projects[Affiliation (Company/University/Place of Work)],"")</f>
        <v>Florida International University</v>
      </c>
      <c r="J142" s="1" t="str">
        <f>_xlfn.XLOOKUP(TableFA2132[[#This Row],[Project]],Projects[Project],Projects[Job Title],"")</f>
        <v>Capstone 2 Student</v>
      </c>
      <c r="K142" s="10">
        <f>COUNTIFS(TableFA2132[Project],TableFA2132[[#This Row],[Project]],TableFA2132[Program],TableFA2132[[#This Row],[Program]])</f>
        <v>4</v>
      </c>
      <c r="L142" s="10">
        <f>COUNTIFS(TableFA2132[Project],TableFA2132[[#This Row],[Project]])</f>
        <v>4</v>
      </c>
      <c r="P142" t="s">
        <v>36</v>
      </c>
      <c r="Q142" t="s">
        <v>36</v>
      </c>
      <c r="R142" t="s">
        <v>36</v>
      </c>
      <c r="S142" t="s">
        <v>36</v>
      </c>
      <c r="T142" t="s">
        <v>36</v>
      </c>
      <c r="U142" t="s">
        <v>36</v>
      </c>
      <c r="V142" t="s">
        <v>36</v>
      </c>
      <c r="W142" t="s">
        <v>36</v>
      </c>
      <c r="X142" t="s">
        <v>36</v>
      </c>
      <c r="Y142" t="s">
        <v>36</v>
      </c>
      <c r="Z142" t="s">
        <v>36</v>
      </c>
      <c r="AA142" t="s">
        <v>36</v>
      </c>
      <c r="AB142" t="s">
        <v>36</v>
      </c>
      <c r="AC142" t="s">
        <v>36</v>
      </c>
    </row>
    <row r="143" spans="1:29" x14ac:dyDescent="0.2">
      <c r="A143" t="s">
        <v>350</v>
      </c>
      <c r="B143" t="s">
        <v>351</v>
      </c>
      <c r="C143" t="s">
        <v>31</v>
      </c>
      <c r="D143" t="s">
        <v>110</v>
      </c>
      <c r="E143" t="s">
        <v>33</v>
      </c>
      <c r="F143" s="1" t="s">
        <v>347</v>
      </c>
      <c r="G143" s="1" t="str">
        <f>_xlfn.XLOOKUP(TableFA2132[[#This Row],[Project]],Projects[Project],Projects[Full Name],"")</f>
        <v>Rickny Sanon</v>
      </c>
      <c r="H143" s="1" t="str">
        <f>_xlfn.XLOOKUP(TableFA2132[[#This Row],[Project]],Projects[Project],Projects[Work Email (no gmail/hotmail/etc.)],"")</f>
        <v>Rsano008@fiu.edu</v>
      </c>
      <c r="I143" s="1" t="str">
        <f>_xlfn.XLOOKUP(TableFA2132[[#This Row],[Project]],Projects[Project],Projects[Affiliation (Company/University/Place of Work)],"")</f>
        <v>Florida International University</v>
      </c>
      <c r="J143" s="1" t="str">
        <f>_xlfn.XLOOKUP(TableFA2132[[#This Row],[Project]],Projects[Project],Projects[Job Title],"")</f>
        <v>Capstone 2 Student</v>
      </c>
      <c r="K143" s="10">
        <f>COUNTIFS(TableFA2132[Project],TableFA2132[[#This Row],[Project]],TableFA2132[Program],TableFA2132[[#This Row],[Program]])</f>
        <v>4</v>
      </c>
      <c r="L143" s="10">
        <f>COUNTIFS(TableFA2132[Project],TableFA2132[[#This Row],[Project]])</f>
        <v>4</v>
      </c>
      <c r="P143" t="s">
        <v>36</v>
      </c>
      <c r="Q143" t="s">
        <v>36</v>
      </c>
      <c r="R143" t="s">
        <v>36</v>
      </c>
      <c r="S143" t="s">
        <v>36</v>
      </c>
      <c r="T143" t="s">
        <v>36</v>
      </c>
      <c r="U143" t="s">
        <v>36</v>
      </c>
      <c r="V143" t="s">
        <v>36</v>
      </c>
      <c r="W143" t="s">
        <v>36</v>
      </c>
      <c r="X143" t="s">
        <v>36</v>
      </c>
      <c r="Y143" t="s">
        <v>36</v>
      </c>
      <c r="Z143" t="s">
        <v>36</v>
      </c>
      <c r="AA143" t="s">
        <v>36</v>
      </c>
      <c r="AB143" t="s">
        <v>36</v>
      </c>
      <c r="AC143" t="s">
        <v>36</v>
      </c>
    </row>
    <row r="144" spans="1:29" x14ac:dyDescent="0.2">
      <c r="A144" t="s">
        <v>352</v>
      </c>
      <c r="B144" t="s">
        <v>353</v>
      </c>
      <c r="C144" t="s">
        <v>31</v>
      </c>
      <c r="D144" t="s">
        <v>110</v>
      </c>
      <c r="E144" t="s">
        <v>33</v>
      </c>
      <c r="F144" s="1" t="s">
        <v>347</v>
      </c>
      <c r="G144" s="1" t="str">
        <f>_xlfn.XLOOKUP(TableFA2132[[#This Row],[Project]],Projects[Project],Projects[Full Name],"")</f>
        <v>Rickny Sanon</v>
      </c>
      <c r="H144" s="1" t="str">
        <f>_xlfn.XLOOKUP(TableFA2132[[#This Row],[Project]],Projects[Project],Projects[Work Email (no gmail/hotmail/etc.)],"")</f>
        <v>Rsano008@fiu.edu</v>
      </c>
      <c r="I144" s="1" t="str">
        <f>_xlfn.XLOOKUP(TableFA2132[[#This Row],[Project]],Projects[Project],Projects[Affiliation (Company/University/Place of Work)],"")</f>
        <v>Florida International University</v>
      </c>
      <c r="J144" s="1" t="str">
        <f>_xlfn.XLOOKUP(TableFA2132[[#This Row],[Project]],Projects[Project],Projects[Job Title],"")</f>
        <v>Capstone 2 Student</v>
      </c>
      <c r="K144" s="10">
        <f>COUNTIFS(TableFA2132[Project],TableFA2132[[#This Row],[Project]],TableFA2132[Program],TableFA2132[[#This Row],[Program]])</f>
        <v>4</v>
      </c>
      <c r="L144" s="10">
        <f>COUNTIFS(TableFA2132[Project],TableFA2132[[#This Row],[Project]])</f>
        <v>4</v>
      </c>
      <c r="P144" t="s">
        <v>36</v>
      </c>
      <c r="Q144" t="s">
        <v>36</v>
      </c>
      <c r="R144" t="s">
        <v>36</v>
      </c>
      <c r="S144" t="s">
        <v>36</v>
      </c>
      <c r="T144" t="s">
        <v>36</v>
      </c>
      <c r="U144" t="s">
        <v>36</v>
      </c>
      <c r="V144" t="s">
        <v>36</v>
      </c>
      <c r="W144" t="s">
        <v>36</v>
      </c>
      <c r="X144" t="s">
        <v>36</v>
      </c>
      <c r="Y144" t="s">
        <v>36</v>
      </c>
      <c r="Z144" t="s">
        <v>36</v>
      </c>
      <c r="AA144" t="s">
        <v>36</v>
      </c>
      <c r="AB144" t="s">
        <v>36</v>
      </c>
      <c r="AC144" t="s">
        <v>36</v>
      </c>
    </row>
    <row r="145" spans="1:29" x14ac:dyDescent="0.2">
      <c r="A145" s="11" t="s">
        <v>354</v>
      </c>
      <c r="B145" s="3" t="s">
        <v>355</v>
      </c>
      <c r="C145" s="3" t="s">
        <v>31</v>
      </c>
      <c r="D145" s="3" t="s">
        <v>32</v>
      </c>
      <c r="E145" t="s">
        <v>33</v>
      </c>
      <c r="F145" s="10" t="s">
        <v>356</v>
      </c>
      <c r="G145" s="1" t="str">
        <f>_xlfn.XLOOKUP(TableFA2132[[#This Row],[Project]],Projects[Project],Projects[Full Name],"")</f>
        <v>Christian Garcia</v>
      </c>
      <c r="H145" s="1" t="str">
        <f>_xlfn.XLOOKUP(TableFA2132[[#This Row],[Project]],Projects[Project],Projects[Work Email (no gmail/hotmail/etc.)],"")</f>
        <v>cgarc669@fiu.edu</v>
      </c>
      <c r="I145" s="1" t="str">
        <f>_xlfn.XLOOKUP(TableFA2132[[#This Row],[Project]],Projects[Project],Projects[Affiliation (Company/University/Place of Work)],"")</f>
        <v>Florida International University</v>
      </c>
      <c r="J145" s="1" t="str">
        <f>_xlfn.XLOOKUP(TableFA2132[[#This Row],[Project]],Projects[Project],Projects[Job Title],"")</f>
        <v>Capstone 2 Student</v>
      </c>
      <c r="K145" s="10">
        <f>COUNTIFS(TableFA2132[Project],TableFA2132[[#This Row],[Project]],TableFA2132[Program],TableFA2132[[#This Row],[Program]])</f>
        <v>3</v>
      </c>
      <c r="L145" s="10">
        <f>COUNTIFS(TableFA2132[Project],TableFA2132[[#This Row],[Project]])</f>
        <v>3</v>
      </c>
      <c r="M145" s="3" t="s">
        <v>35</v>
      </c>
      <c r="N145" s="3"/>
      <c r="O145" s="3"/>
      <c r="P145" s="3" t="s">
        <v>36</v>
      </c>
      <c r="Q145" s="3" t="s">
        <v>36</v>
      </c>
      <c r="R145" s="3" t="s">
        <v>36</v>
      </c>
      <c r="S145" s="3" t="s">
        <v>36</v>
      </c>
      <c r="T145" s="3" t="s">
        <v>36</v>
      </c>
      <c r="U145" s="3" t="s">
        <v>36</v>
      </c>
      <c r="V145" s="3" t="s">
        <v>36</v>
      </c>
      <c r="W145" s="3" t="s">
        <v>36</v>
      </c>
      <c r="X145" s="21" t="s">
        <v>36</v>
      </c>
      <c r="Y145" s="3" t="s">
        <v>36</v>
      </c>
      <c r="Z145" s="3" t="s">
        <v>36</v>
      </c>
      <c r="AA145" s="3" t="s">
        <v>36</v>
      </c>
      <c r="AB145" s="3" t="s">
        <v>36</v>
      </c>
      <c r="AC145" s="3" t="s">
        <v>36</v>
      </c>
    </row>
    <row r="146" spans="1:29" x14ac:dyDescent="0.2">
      <c r="A146" t="s">
        <v>357</v>
      </c>
      <c r="B146" t="s">
        <v>358</v>
      </c>
      <c r="C146" t="s">
        <v>31</v>
      </c>
      <c r="D146" t="s">
        <v>32</v>
      </c>
      <c r="E146" t="s">
        <v>33</v>
      </c>
      <c r="F146" s="1" t="s">
        <v>356</v>
      </c>
      <c r="G146" s="1" t="str">
        <f>_xlfn.XLOOKUP(TableFA2132[[#This Row],[Project]],Projects[Project],Projects[Full Name],"")</f>
        <v>Christian Garcia</v>
      </c>
      <c r="H146" s="1" t="str">
        <f>_xlfn.XLOOKUP(TableFA2132[[#This Row],[Project]],Projects[Project],Projects[Work Email (no gmail/hotmail/etc.)],"")</f>
        <v>cgarc669@fiu.edu</v>
      </c>
      <c r="I146" s="1" t="str">
        <f>_xlfn.XLOOKUP(TableFA2132[[#This Row],[Project]],Projects[Project],Projects[Affiliation (Company/University/Place of Work)],"")</f>
        <v>Florida International University</v>
      </c>
      <c r="J146" s="1" t="str">
        <f>_xlfn.XLOOKUP(TableFA2132[[#This Row],[Project]],Projects[Project],Projects[Job Title],"")</f>
        <v>Capstone 2 Student</v>
      </c>
      <c r="K146" s="10">
        <f>COUNTIFS(TableFA2132[Project],TableFA2132[[#This Row],[Project]],TableFA2132[Program],TableFA2132[[#This Row],[Program]])</f>
        <v>3</v>
      </c>
      <c r="L146" s="10">
        <f>COUNTIFS(TableFA2132[Project],TableFA2132[[#This Row],[Project]])</f>
        <v>3</v>
      </c>
      <c r="P146" t="s">
        <v>36</v>
      </c>
      <c r="Q146" t="s">
        <v>36</v>
      </c>
      <c r="R146" t="s">
        <v>36</v>
      </c>
      <c r="S146" t="s">
        <v>36</v>
      </c>
      <c r="T146" t="s">
        <v>36</v>
      </c>
      <c r="U146" t="s">
        <v>36</v>
      </c>
      <c r="V146" t="s">
        <v>36</v>
      </c>
      <c r="W146" t="s">
        <v>36</v>
      </c>
      <c r="X146" s="5" t="s">
        <v>36</v>
      </c>
      <c r="Y146" t="s">
        <v>36</v>
      </c>
      <c r="Z146" t="s">
        <v>36</v>
      </c>
      <c r="AA146" t="s">
        <v>36</v>
      </c>
      <c r="AB146" t="s">
        <v>36</v>
      </c>
      <c r="AC146" t="s">
        <v>36</v>
      </c>
    </row>
    <row r="147" spans="1:29" x14ac:dyDescent="0.2">
      <c r="A147" t="s">
        <v>359</v>
      </c>
      <c r="B147" t="s">
        <v>360</v>
      </c>
      <c r="C147" t="s">
        <v>31</v>
      </c>
      <c r="D147" t="s">
        <v>32</v>
      </c>
      <c r="E147" t="s">
        <v>33</v>
      </c>
      <c r="F147" s="1" t="s">
        <v>356</v>
      </c>
      <c r="G147" s="1" t="str">
        <f>_xlfn.XLOOKUP(TableFA2132[[#This Row],[Project]],Projects[Project],Projects[Full Name],"")</f>
        <v>Christian Garcia</v>
      </c>
      <c r="H147" s="1" t="str">
        <f>_xlfn.XLOOKUP(TableFA2132[[#This Row],[Project]],Projects[Project],Projects[Work Email (no gmail/hotmail/etc.)],"")</f>
        <v>cgarc669@fiu.edu</v>
      </c>
      <c r="I147" s="1" t="str">
        <f>_xlfn.XLOOKUP(TableFA2132[[#This Row],[Project]],Projects[Project],Projects[Affiliation (Company/University/Place of Work)],"")</f>
        <v>Florida International University</v>
      </c>
      <c r="J147" s="1" t="str">
        <f>_xlfn.XLOOKUP(TableFA2132[[#This Row],[Project]],Projects[Project],Projects[Job Title],"")</f>
        <v>Capstone 2 Student</v>
      </c>
      <c r="K147" s="10">
        <f>COUNTIFS(TableFA2132[Project],TableFA2132[[#This Row],[Project]],TableFA2132[Program],TableFA2132[[#This Row],[Program]])</f>
        <v>3</v>
      </c>
      <c r="L147" s="10">
        <f>COUNTIFS(TableFA2132[Project],TableFA2132[[#This Row],[Project]])</f>
        <v>3</v>
      </c>
      <c r="P147" t="s">
        <v>36</v>
      </c>
      <c r="Q147" t="s">
        <v>36</v>
      </c>
      <c r="R147" t="s">
        <v>36</v>
      </c>
      <c r="S147" t="s">
        <v>36</v>
      </c>
      <c r="T147" t="s">
        <v>36</v>
      </c>
      <c r="U147" t="s">
        <v>36</v>
      </c>
      <c r="V147" t="s">
        <v>36</v>
      </c>
      <c r="W147" t="s">
        <v>36</v>
      </c>
      <c r="X147" s="5" t="s">
        <v>36</v>
      </c>
      <c r="Y147" t="s">
        <v>36</v>
      </c>
      <c r="Z147" t="s">
        <v>36</v>
      </c>
      <c r="AA147" t="s">
        <v>36</v>
      </c>
      <c r="AB147" t="s">
        <v>36</v>
      </c>
      <c r="AC147" t="s">
        <v>36</v>
      </c>
    </row>
    <row r="148" spans="1:29" x14ac:dyDescent="0.2">
      <c r="A148" s="3" t="s">
        <v>363</v>
      </c>
      <c r="B148" s="3" t="s">
        <v>364</v>
      </c>
      <c r="C148" s="3" t="s">
        <v>31</v>
      </c>
      <c r="D148" s="3" t="s">
        <v>32</v>
      </c>
      <c r="E148" t="s">
        <v>33</v>
      </c>
      <c r="F148" s="1" t="s">
        <v>365</v>
      </c>
      <c r="G148" s="1" t="str">
        <f>_xlfn.XLOOKUP(TableFA2132[[#This Row],[Project]],Projects[Project],Projects[Full Name],"")</f>
        <v>Felix Arbucias</v>
      </c>
      <c r="H148" s="1" t="str">
        <f>_xlfn.XLOOKUP(TableFA2132[[#This Row],[Project]],Projects[Project],Projects[Work Email (no gmail/hotmail/etc.)],"")</f>
        <v>farbu001@fiu.edu</v>
      </c>
      <c r="I148" s="1" t="str">
        <f>_xlfn.XLOOKUP(TableFA2132[[#This Row],[Project]],Projects[Project],Projects[Affiliation (Company/University/Place of Work)],"")</f>
        <v>Florida International University</v>
      </c>
      <c r="J148" s="1" t="str">
        <f>_xlfn.XLOOKUP(TableFA2132[[#This Row],[Project]],Projects[Project],Projects[Job Title],"")</f>
        <v>Capstone 2 Student</v>
      </c>
      <c r="K148" s="10">
        <f>COUNTIFS(TableFA2132[Project],TableFA2132[[#This Row],[Project]],TableFA2132[Program],TableFA2132[[#This Row],[Program]])</f>
        <v>5</v>
      </c>
      <c r="L148" s="10">
        <f>COUNTIFS(TableFA2132[Project],TableFA2132[[#This Row],[Project]])</f>
        <v>5</v>
      </c>
      <c r="M148" s="3" t="s">
        <v>35</v>
      </c>
      <c r="N148" s="3"/>
      <c r="O148" s="3"/>
      <c r="P148" s="3" t="s">
        <v>36</v>
      </c>
      <c r="Q148" s="3" t="s">
        <v>36</v>
      </c>
      <c r="R148" s="3" t="s">
        <v>36</v>
      </c>
      <c r="S148" s="3" t="s">
        <v>36</v>
      </c>
      <c r="T148" s="3" t="s">
        <v>36</v>
      </c>
      <c r="U148" s="3" t="s">
        <v>36</v>
      </c>
      <c r="V148" s="3" t="s">
        <v>36</v>
      </c>
      <c r="W148" s="3" t="s">
        <v>36</v>
      </c>
      <c r="X148" s="21" t="s">
        <v>36</v>
      </c>
      <c r="Y148" s="3"/>
      <c r="Z148" s="3"/>
      <c r="AA148" s="3"/>
      <c r="AB148" s="3"/>
      <c r="AC148" s="3"/>
    </row>
    <row r="149" spans="1:29" x14ac:dyDescent="0.2">
      <c r="A149" t="s">
        <v>366</v>
      </c>
      <c r="B149" t="s">
        <v>367</v>
      </c>
      <c r="C149" t="s">
        <v>31</v>
      </c>
      <c r="D149" t="s">
        <v>32</v>
      </c>
      <c r="E149" t="s">
        <v>33</v>
      </c>
      <c r="F149" s="1" t="s">
        <v>365</v>
      </c>
      <c r="G149" s="1" t="str">
        <f>_xlfn.XLOOKUP(TableFA2132[[#This Row],[Project]],Projects[Project],Projects[Full Name],"")</f>
        <v>Felix Arbucias</v>
      </c>
      <c r="H149" s="1" t="str">
        <f>_xlfn.XLOOKUP(TableFA2132[[#This Row],[Project]],Projects[Project],Projects[Work Email (no gmail/hotmail/etc.)],"")</f>
        <v>farbu001@fiu.edu</v>
      </c>
      <c r="I149" s="1" t="str">
        <f>_xlfn.XLOOKUP(TableFA2132[[#This Row],[Project]],Projects[Project],Projects[Affiliation (Company/University/Place of Work)],"")</f>
        <v>Florida International University</v>
      </c>
      <c r="J149" s="1" t="str">
        <f>_xlfn.XLOOKUP(TableFA2132[[#This Row],[Project]],Projects[Project],Projects[Job Title],"")</f>
        <v>Capstone 2 Student</v>
      </c>
      <c r="K149" s="10">
        <f>COUNTIFS(TableFA2132[Project],TableFA2132[[#This Row],[Project]],TableFA2132[Program],TableFA2132[[#This Row],[Program]])</f>
        <v>5</v>
      </c>
      <c r="L149" s="10">
        <f>COUNTIFS(TableFA2132[Project],TableFA2132[[#This Row],[Project]])</f>
        <v>5</v>
      </c>
      <c r="P149" t="s">
        <v>36</v>
      </c>
      <c r="Q149" t="s">
        <v>36</v>
      </c>
      <c r="R149" t="s">
        <v>36</v>
      </c>
      <c r="S149" t="s">
        <v>36</v>
      </c>
      <c r="T149" t="s">
        <v>36</v>
      </c>
      <c r="U149" t="s">
        <v>36</v>
      </c>
      <c r="V149" t="s">
        <v>36</v>
      </c>
      <c r="W149" t="s">
        <v>36</v>
      </c>
      <c r="X149" t="s">
        <v>36</v>
      </c>
      <c r="Z149"/>
    </row>
    <row r="150" spans="1:29" x14ac:dyDescent="0.2">
      <c r="A150" t="s">
        <v>368</v>
      </c>
      <c r="B150" t="s">
        <v>369</v>
      </c>
      <c r="C150" t="s">
        <v>31</v>
      </c>
      <c r="D150" t="s">
        <v>32</v>
      </c>
      <c r="E150" t="s">
        <v>33</v>
      </c>
      <c r="F150" s="1" t="s">
        <v>365</v>
      </c>
      <c r="G150" s="1" t="str">
        <f>_xlfn.XLOOKUP(TableFA2132[[#This Row],[Project]],Projects[Project],Projects[Full Name],"")</f>
        <v>Felix Arbucias</v>
      </c>
      <c r="H150" s="1" t="str">
        <f>_xlfn.XLOOKUP(TableFA2132[[#This Row],[Project]],Projects[Project],Projects[Work Email (no gmail/hotmail/etc.)],"")</f>
        <v>farbu001@fiu.edu</v>
      </c>
      <c r="I150" s="1" t="str">
        <f>_xlfn.XLOOKUP(TableFA2132[[#This Row],[Project]],Projects[Project],Projects[Affiliation (Company/University/Place of Work)],"")</f>
        <v>Florida International University</v>
      </c>
      <c r="J150" s="1" t="str">
        <f>_xlfn.XLOOKUP(TableFA2132[[#This Row],[Project]],Projects[Project],Projects[Job Title],"")</f>
        <v>Capstone 2 Student</v>
      </c>
      <c r="K150" s="10">
        <f>COUNTIFS(TableFA2132[Project],TableFA2132[[#This Row],[Project]],TableFA2132[Program],TableFA2132[[#This Row],[Program]])</f>
        <v>5</v>
      </c>
      <c r="L150" s="10">
        <f>COUNTIFS(TableFA2132[Project],TableFA2132[[#This Row],[Project]])</f>
        <v>5</v>
      </c>
      <c r="P150" t="s">
        <v>36</v>
      </c>
      <c r="Q150" t="s">
        <v>36</v>
      </c>
      <c r="R150" t="s">
        <v>36</v>
      </c>
      <c r="S150" t="s">
        <v>36</v>
      </c>
      <c r="T150" t="s">
        <v>36</v>
      </c>
      <c r="U150" t="s">
        <v>36</v>
      </c>
      <c r="V150" t="s">
        <v>36</v>
      </c>
      <c r="W150" t="s">
        <v>36</v>
      </c>
      <c r="X150" t="s">
        <v>36</v>
      </c>
      <c r="Z150"/>
    </row>
    <row r="151" spans="1:29" x14ac:dyDescent="0.2">
      <c r="A151" t="s">
        <v>370</v>
      </c>
      <c r="B151" t="s">
        <v>371</v>
      </c>
      <c r="C151" t="s">
        <v>31</v>
      </c>
      <c r="D151" t="s">
        <v>32</v>
      </c>
      <c r="E151" t="s">
        <v>33</v>
      </c>
      <c r="F151" s="1" t="s">
        <v>365</v>
      </c>
      <c r="G151" s="1" t="str">
        <f>_xlfn.XLOOKUP(TableFA2132[[#This Row],[Project]],Projects[Project],Projects[Full Name],"")</f>
        <v>Felix Arbucias</v>
      </c>
      <c r="H151" s="1" t="str">
        <f>_xlfn.XLOOKUP(TableFA2132[[#This Row],[Project]],Projects[Project],Projects[Work Email (no gmail/hotmail/etc.)],"")</f>
        <v>farbu001@fiu.edu</v>
      </c>
      <c r="I151" s="1" t="str">
        <f>_xlfn.XLOOKUP(TableFA2132[[#This Row],[Project]],Projects[Project],Projects[Affiliation (Company/University/Place of Work)],"")</f>
        <v>Florida International University</v>
      </c>
      <c r="J151" s="1" t="str">
        <f>_xlfn.XLOOKUP(TableFA2132[[#This Row],[Project]],Projects[Project],Projects[Job Title],"")</f>
        <v>Capstone 2 Student</v>
      </c>
      <c r="K151" s="10">
        <f>COUNTIFS(TableFA2132[Project],TableFA2132[[#This Row],[Project]],TableFA2132[Program],TableFA2132[[#This Row],[Program]])</f>
        <v>5</v>
      </c>
      <c r="L151" s="10">
        <f>COUNTIFS(TableFA2132[Project],TableFA2132[[#This Row],[Project]])</f>
        <v>5</v>
      </c>
      <c r="P151" t="s">
        <v>36</v>
      </c>
      <c r="Q151" t="s">
        <v>36</v>
      </c>
      <c r="R151" t="s">
        <v>36</v>
      </c>
      <c r="S151" t="s">
        <v>36</v>
      </c>
      <c r="T151" t="s">
        <v>36</v>
      </c>
      <c r="U151" t="s">
        <v>36</v>
      </c>
      <c r="V151" t="s">
        <v>36</v>
      </c>
      <c r="W151" t="s">
        <v>36</v>
      </c>
      <c r="X151" t="s">
        <v>36</v>
      </c>
      <c r="Z151"/>
    </row>
    <row r="152" spans="1:29" x14ac:dyDescent="0.2">
      <c r="A152" t="s">
        <v>372</v>
      </c>
      <c r="B152" t="s">
        <v>373</v>
      </c>
      <c r="C152" t="s">
        <v>31</v>
      </c>
      <c r="D152" t="s">
        <v>32</v>
      </c>
      <c r="E152" t="s">
        <v>33</v>
      </c>
      <c r="F152" s="1" t="s">
        <v>365</v>
      </c>
      <c r="G152" s="1" t="str">
        <f>_xlfn.XLOOKUP(TableFA2132[[#This Row],[Project]],Projects[Project],Projects[Full Name],"")</f>
        <v>Felix Arbucias</v>
      </c>
      <c r="H152" s="1" t="str">
        <f>_xlfn.XLOOKUP(TableFA2132[[#This Row],[Project]],Projects[Project],Projects[Work Email (no gmail/hotmail/etc.)],"")</f>
        <v>farbu001@fiu.edu</v>
      </c>
      <c r="I152" s="1" t="str">
        <f>_xlfn.XLOOKUP(TableFA2132[[#This Row],[Project]],Projects[Project],Projects[Affiliation (Company/University/Place of Work)],"")</f>
        <v>Florida International University</v>
      </c>
      <c r="J152" s="1" t="str">
        <f>_xlfn.XLOOKUP(TableFA2132[[#This Row],[Project]],Projects[Project],Projects[Job Title],"")</f>
        <v>Capstone 2 Student</v>
      </c>
      <c r="K152" s="10">
        <f>COUNTIFS(TableFA2132[Project],TableFA2132[[#This Row],[Project]],TableFA2132[Program],TableFA2132[[#This Row],[Program]])</f>
        <v>5</v>
      </c>
      <c r="L152" s="10">
        <f>COUNTIFS(TableFA2132[Project],TableFA2132[[#This Row],[Project]])</f>
        <v>5</v>
      </c>
      <c r="P152" t="s">
        <v>36</v>
      </c>
      <c r="Q152" t="s">
        <v>36</v>
      </c>
      <c r="R152" t="s">
        <v>36</v>
      </c>
      <c r="S152" t="s">
        <v>36</v>
      </c>
      <c r="T152" t="s">
        <v>36</v>
      </c>
      <c r="U152" t="s">
        <v>36</v>
      </c>
      <c r="V152" t="s">
        <v>36</v>
      </c>
      <c r="W152" t="s">
        <v>36</v>
      </c>
      <c r="X152" t="s">
        <v>36</v>
      </c>
      <c r="Z152"/>
    </row>
    <row r="153" spans="1:29" x14ac:dyDescent="0.2">
      <c r="A153" s="2" t="s">
        <v>374</v>
      </c>
      <c r="B153" s="2" t="s">
        <v>375</v>
      </c>
      <c r="C153" s="2" t="s">
        <v>31</v>
      </c>
      <c r="D153" s="2" t="s">
        <v>32</v>
      </c>
      <c r="E153" s="2" t="s">
        <v>33</v>
      </c>
      <c r="F153" s="36"/>
      <c r="G153" s="36" t="str">
        <f>_xlfn.XLOOKUP(TableFA2132[[#This Row],[Project]],Projects[Project],Projects[Full Name],"")</f>
        <v>Daniel Gonzalez</v>
      </c>
      <c r="H153" s="36" t="str">
        <f>_xlfn.XLOOKUP(TableFA2132[[#This Row],[Project]],Projects[Project],Projects[Work Email (no gmail/hotmail/etc.)],"")</f>
        <v>dgonz692@fiu.edu</v>
      </c>
      <c r="I153" s="36" t="str">
        <f>_xlfn.XLOOKUP(TableFA2132[[#This Row],[Project]],Projects[Project],Projects[Affiliation (Company/University/Place of Work)],"")</f>
        <v>Florida International University</v>
      </c>
      <c r="J153" s="36" t="str">
        <f>_xlfn.XLOOKUP(TableFA2132[[#This Row],[Project]],Projects[Project],Projects[Job Title],"")</f>
        <v>Capstone 2 Student</v>
      </c>
      <c r="K153" s="37">
        <f>COUNTIFS(TableFA2132[Project],TableFA2132[[#This Row],[Project]],TableFA2132[Program],TableFA2132[[#This Row],[Program]])</f>
        <v>0</v>
      </c>
      <c r="L153" s="37">
        <f>COUNTIFS(TableFA2132[Project],TableFA2132[[#This Row],[Project]])</f>
        <v>0</v>
      </c>
      <c r="M153" s="2"/>
      <c r="N153" s="2" t="s">
        <v>376</v>
      </c>
      <c r="O153" s="2"/>
      <c r="P153" s="2"/>
      <c r="Q153" s="2"/>
      <c r="R153" s="2"/>
      <c r="S153" s="2"/>
      <c r="T153" s="2"/>
      <c r="U153" s="2"/>
      <c r="V153" s="2"/>
      <c r="W153" s="2"/>
      <c r="X153" s="2"/>
      <c r="Y153" s="2"/>
      <c r="Z153" s="2"/>
      <c r="AA153" s="2"/>
      <c r="AB153" s="2"/>
      <c r="AC153" s="2"/>
    </row>
    <row r="154" spans="1:29" x14ac:dyDescent="0.2">
      <c r="A154" t="s">
        <v>377</v>
      </c>
      <c r="B154" t="s">
        <v>378</v>
      </c>
      <c r="C154" s="1" t="s">
        <v>31</v>
      </c>
      <c r="D154" t="s">
        <v>110</v>
      </c>
      <c r="E154" t="s">
        <v>33</v>
      </c>
      <c r="F154" s="1"/>
      <c r="G154" s="1" t="str">
        <f>_xlfn.XLOOKUP(TableFA2132[[#This Row],[Project]],Projects[Project],Projects[Full Name],"")</f>
        <v>Daniel Gonzalez</v>
      </c>
      <c r="H154" s="1" t="str">
        <f>_xlfn.XLOOKUP(TableFA2132[[#This Row],[Project]],Projects[Project],Projects[Work Email (no gmail/hotmail/etc.)],"")</f>
        <v>dgonz692@fiu.edu</v>
      </c>
      <c r="I154" s="1" t="str">
        <f>_xlfn.XLOOKUP(TableFA2132[[#This Row],[Project]],Projects[Project],Projects[Affiliation (Company/University/Place of Work)],"")</f>
        <v>Florida International University</v>
      </c>
      <c r="J154" s="1" t="str">
        <f>_xlfn.XLOOKUP(TableFA2132[[#This Row],[Project]],Projects[Project],Projects[Job Title],"")</f>
        <v>Capstone 2 Student</v>
      </c>
      <c r="K154" s="10">
        <f>COUNTIFS(TableFA2132[Project],TableFA2132[[#This Row],[Project]],TableFA2132[Program],TableFA2132[[#This Row],[Program]])</f>
        <v>0</v>
      </c>
      <c r="L154" s="10">
        <f>COUNTIFS(TableFA2132[Project],TableFA2132[[#This Row],[Project]])</f>
        <v>0</v>
      </c>
      <c r="Z154"/>
    </row>
    <row r="155" spans="1:29" x14ac:dyDescent="0.2">
      <c r="A155" t="s">
        <v>379</v>
      </c>
      <c r="B155" t="s">
        <v>380</v>
      </c>
      <c r="C155" t="s">
        <v>31</v>
      </c>
      <c r="D155" t="s">
        <v>32</v>
      </c>
      <c r="E155" t="s">
        <v>33</v>
      </c>
      <c r="F155" s="1"/>
      <c r="G155" s="1" t="str">
        <f>_xlfn.XLOOKUP(TableFA2132[[#This Row],[Project]],Projects[Project],Projects[Full Name],"")</f>
        <v>Daniel Gonzalez</v>
      </c>
      <c r="H155" s="1" t="str">
        <f>_xlfn.XLOOKUP(TableFA2132[[#This Row],[Project]],Projects[Project],Projects[Work Email (no gmail/hotmail/etc.)],"")</f>
        <v>dgonz692@fiu.edu</v>
      </c>
      <c r="I155" s="1" t="str">
        <f>_xlfn.XLOOKUP(TableFA2132[[#This Row],[Project]],Projects[Project],Projects[Affiliation (Company/University/Place of Work)],"")</f>
        <v>Florida International University</v>
      </c>
      <c r="J155" s="1" t="str">
        <f>_xlfn.XLOOKUP(TableFA2132[[#This Row],[Project]],Projects[Project],Projects[Job Title],"")</f>
        <v>Capstone 2 Student</v>
      </c>
      <c r="K155" s="10">
        <f>COUNTIFS(TableFA2132[Project],TableFA2132[[#This Row],[Project]],TableFA2132[Program],TableFA2132[[#This Row],[Program]])</f>
        <v>0</v>
      </c>
      <c r="L155" s="10">
        <f>COUNTIFS(TableFA2132[Project],TableFA2132[[#This Row],[Project]])</f>
        <v>0</v>
      </c>
      <c r="X155" s="5"/>
      <c r="Z155"/>
    </row>
    <row r="156" spans="1:29" x14ac:dyDescent="0.2">
      <c r="A156" t="s">
        <v>361</v>
      </c>
      <c r="B156" t="s">
        <v>362</v>
      </c>
      <c r="C156" t="s">
        <v>31</v>
      </c>
      <c r="D156" t="s">
        <v>32</v>
      </c>
      <c r="E156" t="s">
        <v>33</v>
      </c>
      <c r="F156" s="1"/>
      <c r="G156" s="1" t="str">
        <f>_xlfn.XLOOKUP(TableFA2132[[#This Row],[Project]],Projects[Project],Projects[Full Name],"")</f>
        <v>Daniel Gonzalez</v>
      </c>
      <c r="H156" s="1" t="str">
        <f>_xlfn.XLOOKUP(TableFA2132[[#This Row],[Project]],Projects[Project],Projects[Work Email (no gmail/hotmail/etc.)],"")</f>
        <v>dgonz692@fiu.edu</v>
      </c>
      <c r="I156" s="1" t="str">
        <f>_xlfn.XLOOKUP(TableFA2132[[#This Row],[Project]],Projects[Project],Projects[Affiliation (Company/University/Place of Work)],"")</f>
        <v>Florida International University</v>
      </c>
      <c r="J156" s="1" t="str">
        <f>_xlfn.XLOOKUP(TableFA2132[[#This Row],[Project]],Projects[Project],Projects[Job Title],"")</f>
        <v>Capstone 2 Student</v>
      </c>
      <c r="K156" s="10">
        <f>COUNTIFS(TableFA2132[Project],TableFA2132[[#This Row],[Project]],TableFA2132[Program],TableFA2132[[#This Row],[Program]])</f>
        <v>0</v>
      </c>
      <c r="L156" s="10">
        <f>COUNTIFS(TableFA2132[Project],TableFA2132[[#This Row],[Project]])</f>
        <v>0</v>
      </c>
      <c r="P156" t="s">
        <v>164</v>
      </c>
      <c r="Q156" t="s">
        <v>164</v>
      </c>
      <c r="R156" t="s">
        <v>164</v>
      </c>
      <c r="S156" t="s">
        <v>164</v>
      </c>
      <c r="T156" t="s">
        <v>164</v>
      </c>
      <c r="U156" t="s">
        <v>164</v>
      </c>
      <c r="V156" t="s">
        <v>164</v>
      </c>
      <c r="X156" s="5"/>
      <c r="Z156"/>
    </row>
    <row r="157" spans="1:29" x14ac:dyDescent="0.2">
      <c r="A157" s="3" t="s">
        <v>381</v>
      </c>
      <c r="B157" s="3" t="s">
        <v>382</v>
      </c>
      <c r="C157" s="3" t="s">
        <v>383</v>
      </c>
      <c r="D157" s="3" t="s">
        <v>32</v>
      </c>
      <c r="E157" t="s">
        <v>33</v>
      </c>
      <c r="F157" s="10" t="s">
        <v>384</v>
      </c>
      <c r="G157" s="10" t="str">
        <f>_xlfn.XLOOKUP(TableFA2132[[#This Row],[Project]],Projects[Project],Projects[Full Name],"")</f>
        <v>Ashley Francis</v>
      </c>
      <c r="H157" s="10" t="str">
        <f>_xlfn.XLOOKUP(TableFA2132[[#This Row],[Project]],Projects[Project],Projects[Work Email (no gmail/hotmail/etc.)],"")</f>
        <v>afran280@fiu.edu</v>
      </c>
      <c r="I157" s="10" t="str">
        <f>_xlfn.XLOOKUP(TableFA2132[[#This Row],[Project]],Projects[Project],Projects[Affiliation (Company/University/Place of Work)],"")</f>
        <v>Florida International University</v>
      </c>
      <c r="J157" s="10" t="str">
        <f>_xlfn.XLOOKUP(TableFA2132[[#This Row],[Project]],Projects[Project],Projects[Job Title],"")</f>
        <v>Capstone 2 Student</v>
      </c>
      <c r="K157" s="10">
        <f>COUNTIFS(TableFA2132[Project],TableFA2132[[#This Row],[Project]],TableFA2132[Program],TableFA2132[[#This Row],[Program]])</f>
        <v>5</v>
      </c>
      <c r="L157" s="10">
        <f>COUNTIFS(TableFA2132[Project],TableFA2132[[#This Row],[Project]])</f>
        <v>5</v>
      </c>
      <c r="M157" s="3" t="s">
        <v>35</v>
      </c>
      <c r="N157" s="3"/>
      <c r="O157" s="3"/>
      <c r="P157" s="32" t="s">
        <v>36</v>
      </c>
      <c r="Q157" s="32" t="s">
        <v>36</v>
      </c>
      <c r="R157" s="32" t="s">
        <v>36</v>
      </c>
      <c r="S157" s="32" t="s">
        <v>36</v>
      </c>
      <c r="T157" s="3" t="s">
        <v>36</v>
      </c>
      <c r="U157" s="3" t="s">
        <v>36</v>
      </c>
      <c r="V157" s="3" t="s">
        <v>36</v>
      </c>
      <c r="W157" s="3" t="s">
        <v>36</v>
      </c>
      <c r="X157" s="3" t="s">
        <v>36</v>
      </c>
      <c r="Y157" s="3" t="s">
        <v>36</v>
      </c>
      <c r="Z157" s="3" t="s">
        <v>36</v>
      </c>
      <c r="AA157" s="3" t="s">
        <v>36</v>
      </c>
      <c r="AB157" s="32" t="s">
        <v>36</v>
      </c>
      <c r="AC157" s="3" t="s">
        <v>36</v>
      </c>
    </row>
    <row r="158" spans="1:29" x14ac:dyDescent="0.2">
      <c r="A158" t="s">
        <v>385</v>
      </c>
      <c r="B158" t="s">
        <v>386</v>
      </c>
      <c r="C158" t="s">
        <v>383</v>
      </c>
      <c r="D158" t="s">
        <v>32</v>
      </c>
      <c r="E158" t="s">
        <v>33</v>
      </c>
      <c r="F158" s="1" t="s">
        <v>384</v>
      </c>
      <c r="G158" s="1" t="str">
        <f>_xlfn.XLOOKUP(TableFA2132[[#This Row],[Project]],Projects[Project],Projects[Full Name],"")</f>
        <v>Ashley Francis</v>
      </c>
      <c r="H158" s="1" t="str">
        <f>_xlfn.XLOOKUP(TableFA2132[[#This Row],[Project]],Projects[Project],Projects[Work Email (no gmail/hotmail/etc.)],"")</f>
        <v>afran280@fiu.edu</v>
      </c>
      <c r="I158" s="1" t="str">
        <f>_xlfn.XLOOKUP(TableFA2132[[#This Row],[Project]],Projects[Project],Projects[Affiliation (Company/University/Place of Work)],"")</f>
        <v>Florida International University</v>
      </c>
      <c r="J158" s="1" t="str">
        <f>_xlfn.XLOOKUP(TableFA2132[[#This Row],[Project]],Projects[Project],Projects[Job Title],"")</f>
        <v>Capstone 2 Student</v>
      </c>
      <c r="K158" s="10">
        <f>COUNTIFS(TableFA2132[Project],TableFA2132[[#This Row],[Project]],TableFA2132[Program],TableFA2132[[#This Row],[Program]])</f>
        <v>5</v>
      </c>
      <c r="L158" s="10">
        <f>COUNTIFS(TableFA2132[Project],TableFA2132[[#This Row],[Project]])</f>
        <v>5</v>
      </c>
      <c r="P158" s="33" t="s">
        <v>74</v>
      </c>
      <c r="Q158" s="33" t="s">
        <v>74</v>
      </c>
      <c r="R158" s="33" t="s">
        <v>74</v>
      </c>
      <c r="S158" s="33" t="s">
        <v>74</v>
      </c>
      <c r="T158" t="s">
        <v>36</v>
      </c>
      <c r="U158" t="s">
        <v>36</v>
      </c>
      <c r="V158" t="s">
        <v>36</v>
      </c>
      <c r="W158" t="s">
        <v>36</v>
      </c>
      <c r="X158" t="s">
        <v>36</v>
      </c>
      <c r="Y158" t="s">
        <v>36</v>
      </c>
      <c r="Z158" t="s">
        <v>74</v>
      </c>
      <c r="AA158" t="s">
        <v>74</v>
      </c>
      <c r="AB158" s="33" t="s">
        <v>74</v>
      </c>
      <c r="AC158" t="s">
        <v>36</v>
      </c>
    </row>
    <row r="159" spans="1:29" x14ac:dyDescent="0.2">
      <c r="A159" t="s">
        <v>387</v>
      </c>
      <c r="B159" t="s">
        <v>388</v>
      </c>
      <c r="C159" t="s">
        <v>383</v>
      </c>
      <c r="D159" t="s">
        <v>32</v>
      </c>
      <c r="E159" t="s">
        <v>33</v>
      </c>
      <c r="F159" s="1" t="s">
        <v>384</v>
      </c>
      <c r="G159" s="1" t="str">
        <f>_xlfn.XLOOKUP(TableFA2132[[#This Row],[Project]],Projects[Project],Projects[Full Name],"")</f>
        <v>Ashley Francis</v>
      </c>
      <c r="H159" s="1" t="str">
        <f>_xlfn.XLOOKUP(TableFA2132[[#This Row],[Project]],Projects[Project],Projects[Work Email (no gmail/hotmail/etc.)],"")</f>
        <v>afran280@fiu.edu</v>
      </c>
      <c r="I159" s="1" t="str">
        <f>_xlfn.XLOOKUP(TableFA2132[[#This Row],[Project]],Projects[Project],Projects[Affiliation (Company/University/Place of Work)],"")</f>
        <v>Florida International University</v>
      </c>
      <c r="J159" s="1" t="str">
        <f>_xlfn.XLOOKUP(TableFA2132[[#This Row],[Project]],Projects[Project],Projects[Job Title],"")</f>
        <v>Capstone 2 Student</v>
      </c>
      <c r="K159" s="10">
        <f>COUNTIFS(TableFA2132[Project],TableFA2132[[#This Row],[Project]],TableFA2132[Program],TableFA2132[[#This Row],[Program]])</f>
        <v>5</v>
      </c>
      <c r="L159" s="10">
        <f>COUNTIFS(TableFA2132[Project],TableFA2132[[#This Row],[Project]])</f>
        <v>5</v>
      </c>
      <c r="P159" s="34" t="s">
        <v>36</v>
      </c>
      <c r="Q159" s="34" t="s">
        <v>36</v>
      </c>
      <c r="R159" s="34" t="s">
        <v>36</v>
      </c>
      <c r="S159" s="34" t="s">
        <v>36</v>
      </c>
      <c r="T159" t="s">
        <v>36</v>
      </c>
      <c r="U159" t="s">
        <v>36</v>
      </c>
      <c r="V159" t="s">
        <v>36</v>
      </c>
      <c r="W159" t="s">
        <v>36</v>
      </c>
      <c r="X159" t="s">
        <v>36</v>
      </c>
      <c r="Y159" t="s">
        <v>36</v>
      </c>
      <c r="Z159" t="s">
        <v>36</v>
      </c>
      <c r="AA159" t="s">
        <v>36</v>
      </c>
      <c r="AB159" s="34" t="s">
        <v>36</v>
      </c>
      <c r="AC159" t="s">
        <v>36</v>
      </c>
    </row>
    <row r="160" spans="1:29" x14ac:dyDescent="0.2">
      <c r="A160" t="s">
        <v>389</v>
      </c>
      <c r="B160" t="s">
        <v>390</v>
      </c>
      <c r="C160" t="s">
        <v>383</v>
      </c>
      <c r="D160" t="s">
        <v>32</v>
      </c>
      <c r="E160" t="s">
        <v>33</v>
      </c>
      <c r="F160" s="1" t="s">
        <v>384</v>
      </c>
      <c r="G160" s="1" t="str">
        <f>_xlfn.XLOOKUP(TableFA2132[[#This Row],[Project]],Projects[Project],Projects[Full Name],"")</f>
        <v>Ashley Francis</v>
      </c>
      <c r="H160" s="1" t="str">
        <f>_xlfn.XLOOKUP(TableFA2132[[#This Row],[Project]],Projects[Project],Projects[Work Email (no gmail/hotmail/etc.)],"")</f>
        <v>afran280@fiu.edu</v>
      </c>
      <c r="I160" s="1" t="str">
        <f>_xlfn.XLOOKUP(TableFA2132[[#This Row],[Project]],Projects[Project],Projects[Affiliation (Company/University/Place of Work)],"")</f>
        <v>Florida International University</v>
      </c>
      <c r="J160" s="1" t="str">
        <f>_xlfn.XLOOKUP(TableFA2132[[#This Row],[Project]],Projects[Project],Projects[Job Title],"")</f>
        <v>Capstone 2 Student</v>
      </c>
      <c r="K160" s="10">
        <f>COUNTIFS(TableFA2132[Project],TableFA2132[[#This Row],[Project]],TableFA2132[Program],TableFA2132[[#This Row],[Program]])</f>
        <v>5</v>
      </c>
      <c r="L160" s="10">
        <f>COUNTIFS(TableFA2132[Project],TableFA2132[[#This Row],[Project]])</f>
        <v>5</v>
      </c>
      <c r="P160" s="33" t="s">
        <v>36</v>
      </c>
      <c r="Q160" s="33" t="s">
        <v>36</v>
      </c>
      <c r="R160" s="33" t="s">
        <v>36</v>
      </c>
      <c r="S160" s="33" t="s">
        <v>36</v>
      </c>
      <c r="T160" t="s">
        <v>36</v>
      </c>
      <c r="U160" t="s">
        <v>36</v>
      </c>
      <c r="V160" t="s">
        <v>36</v>
      </c>
      <c r="W160" t="s">
        <v>36</v>
      </c>
      <c r="X160" t="s">
        <v>36</v>
      </c>
      <c r="Y160" t="s">
        <v>36</v>
      </c>
      <c r="Z160" t="s">
        <v>36</v>
      </c>
      <c r="AA160" t="s">
        <v>36</v>
      </c>
      <c r="AB160" s="33" t="s">
        <v>36</v>
      </c>
      <c r="AC160" t="s">
        <v>36</v>
      </c>
    </row>
    <row r="161" spans="1:29" x14ac:dyDescent="0.2">
      <c r="A161" t="s">
        <v>391</v>
      </c>
      <c r="B161" t="s">
        <v>392</v>
      </c>
      <c r="C161" t="s">
        <v>383</v>
      </c>
      <c r="D161" t="s">
        <v>32</v>
      </c>
      <c r="E161" t="s">
        <v>33</v>
      </c>
      <c r="F161" s="1" t="s">
        <v>384</v>
      </c>
      <c r="G161" s="1" t="str">
        <f>_xlfn.XLOOKUP(TableFA2132[[#This Row],[Project]],Projects[Project],Projects[Full Name],"")</f>
        <v>Ashley Francis</v>
      </c>
      <c r="H161" s="1" t="str">
        <f>_xlfn.XLOOKUP(TableFA2132[[#This Row],[Project]],Projects[Project],Projects[Work Email (no gmail/hotmail/etc.)],"")</f>
        <v>afran280@fiu.edu</v>
      </c>
      <c r="I161" s="1" t="str">
        <f>_xlfn.XLOOKUP(TableFA2132[[#This Row],[Project]],Projects[Project],Projects[Affiliation (Company/University/Place of Work)],"")</f>
        <v>Florida International University</v>
      </c>
      <c r="J161" s="1" t="str">
        <f>_xlfn.XLOOKUP(TableFA2132[[#This Row],[Project]],Projects[Project],Projects[Job Title],"")</f>
        <v>Capstone 2 Student</v>
      </c>
      <c r="K161" s="10">
        <f>COUNTIFS(TableFA2132[Project],TableFA2132[[#This Row],[Project]],TableFA2132[Program],TableFA2132[[#This Row],[Program]])</f>
        <v>5</v>
      </c>
      <c r="L161" s="10">
        <f>COUNTIFS(TableFA2132[Project],TableFA2132[[#This Row],[Project]])</f>
        <v>5</v>
      </c>
      <c r="P161" s="34" t="s">
        <v>74</v>
      </c>
      <c r="Q161" s="34" t="s">
        <v>74</v>
      </c>
      <c r="R161" s="34" t="s">
        <v>74</v>
      </c>
      <c r="S161" s="34" t="s">
        <v>74</v>
      </c>
      <c r="T161" t="s">
        <v>36</v>
      </c>
      <c r="U161" t="s">
        <v>36</v>
      </c>
      <c r="V161" t="s">
        <v>36</v>
      </c>
      <c r="W161" t="s">
        <v>36</v>
      </c>
      <c r="X161" t="s">
        <v>36</v>
      </c>
      <c r="Y161" t="s">
        <v>36</v>
      </c>
      <c r="Z161" t="s">
        <v>74</v>
      </c>
      <c r="AA161" t="s">
        <v>74</v>
      </c>
      <c r="AB161" s="34" t="s">
        <v>74</v>
      </c>
      <c r="AC161" t="s">
        <v>163</v>
      </c>
    </row>
    <row r="162" spans="1:29" x14ac:dyDescent="0.2">
      <c r="A162" s="3" t="s">
        <v>393</v>
      </c>
      <c r="B162" s="3" t="s">
        <v>394</v>
      </c>
      <c r="C162" s="3" t="s">
        <v>383</v>
      </c>
      <c r="D162" s="3" t="s">
        <v>32</v>
      </c>
      <c r="E162" t="s">
        <v>33</v>
      </c>
      <c r="F162" s="10" t="s">
        <v>395</v>
      </c>
      <c r="G162" s="1" t="str">
        <f>_xlfn.XLOOKUP(TableFA2132[[#This Row],[Project]],Projects[Project],Projects[Full Name],"")</f>
        <v>Isis Gomez</v>
      </c>
      <c r="H162" s="1" t="str">
        <f>_xlfn.XLOOKUP(TableFA2132[[#This Row],[Project]],Projects[Project],Projects[Work Email (no gmail/hotmail/etc.)],"")</f>
        <v>igome062@fiu.edu</v>
      </c>
      <c r="I162" s="1" t="str">
        <f>_xlfn.XLOOKUP(TableFA2132[[#This Row],[Project]],Projects[Project],Projects[Affiliation (Company/University/Place of Work)],"")</f>
        <v>Florida International University</v>
      </c>
      <c r="J162" s="1" t="str">
        <f>_xlfn.XLOOKUP(TableFA2132[[#This Row],[Project]],Projects[Project],Projects[Job Title],"")</f>
        <v>Capstone 2 Student</v>
      </c>
      <c r="K162" s="10">
        <f>COUNTIFS(TableFA2132[Project],TableFA2132[[#This Row],[Project]],TableFA2132[Program],TableFA2132[[#This Row],[Program]])</f>
        <v>5</v>
      </c>
      <c r="L162" s="10">
        <f>COUNTIFS(TableFA2132[Project],TableFA2132[[#This Row],[Project]])</f>
        <v>5</v>
      </c>
      <c r="M162" s="3" t="s">
        <v>35</v>
      </c>
      <c r="N162" s="3"/>
      <c r="O162" s="3"/>
      <c r="P162" s="3" t="s">
        <v>36</v>
      </c>
      <c r="Q162" s="3" t="s">
        <v>36</v>
      </c>
      <c r="R162" s="3" t="s">
        <v>36</v>
      </c>
      <c r="S162" s="3" t="s">
        <v>36</v>
      </c>
      <c r="T162" s="3" t="s">
        <v>36</v>
      </c>
      <c r="U162" s="3" t="s">
        <v>36</v>
      </c>
      <c r="V162" s="3" t="s">
        <v>36</v>
      </c>
      <c r="W162" s="3" t="s">
        <v>36</v>
      </c>
      <c r="X162" s="21" t="s">
        <v>36</v>
      </c>
      <c r="Y162" s="3" t="s">
        <v>36</v>
      </c>
      <c r="Z162" s="3" t="s">
        <v>36</v>
      </c>
      <c r="AA162" s="3" t="s">
        <v>36</v>
      </c>
      <c r="AB162" s="3" t="s">
        <v>36</v>
      </c>
      <c r="AC162" s="78" t="s">
        <v>36</v>
      </c>
    </row>
    <row r="163" spans="1:29" s="6" customFormat="1" x14ac:dyDescent="0.2">
      <c r="A163" t="s">
        <v>396</v>
      </c>
      <c r="B163" t="s">
        <v>397</v>
      </c>
      <c r="C163" t="s">
        <v>383</v>
      </c>
      <c r="D163" t="s">
        <v>32</v>
      </c>
      <c r="E163" t="s">
        <v>33</v>
      </c>
      <c r="F163" s="1" t="s">
        <v>395</v>
      </c>
      <c r="G163" s="1" t="str">
        <f>_xlfn.XLOOKUP(TableFA2132[[#This Row],[Project]],Projects[Project],Projects[Full Name],"")</f>
        <v>Isis Gomez</v>
      </c>
      <c r="H163" s="1" t="str">
        <f>_xlfn.XLOOKUP(TableFA2132[[#This Row],[Project]],Projects[Project],Projects[Work Email (no gmail/hotmail/etc.)],"")</f>
        <v>igome062@fiu.edu</v>
      </c>
      <c r="I163" s="1" t="str">
        <f>_xlfn.XLOOKUP(TableFA2132[[#This Row],[Project]],Projects[Project],Projects[Affiliation (Company/University/Place of Work)],"")</f>
        <v>Florida International University</v>
      </c>
      <c r="J163" s="1" t="str">
        <f>_xlfn.XLOOKUP(TableFA2132[[#This Row],[Project]],Projects[Project],Projects[Job Title],"")</f>
        <v>Capstone 2 Student</v>
      </c>
      <c r="K163" s="10">
        <f>COUNTIFS(TableFA2132[Project],TableFA2132[[#This Row],[Project]],TableFA2132[Program],TableFA2132[[#This Row],[Program]])</f>
        <v>5</v>
      </c>
      <c r="L163" s="10">
        <f>COUNTIFS(TableFA2132[Project],TableFA2132[[#This Row],[Project]])</f>
        <v>5</v>
      </c>
      <c r="M163"/>
      <c r="N163"/>
      <c r="O163"/>
      <c r="P163" t="s">
        <v>36</v>
      </c>
      <c r="Q163" t="s">
        <v>36</v>
      </c>
      <c r="R163" t="s">
        <v>36</v>
      </c>
      <c r="S163" t="s">
        <v>36</v>
      </c>
      <c r="T163" t="s">
        <v>36</v>
      </c>
      <c r="U163" t="s">
        <v>36</v>
      </c>
      <c r="V163" t="s">
        <v>36</v>
      </c>
      <c r="W163" t="s">
        <v>36</v>
      </c>
      <c r="X163" s="5" t="s">
        <v>36</v>
      </c>
      <c r="Y163" t="s">
        <v>36</v>
      </c>
      <c r="Z163" t="s">
        <v>36</v>
      </c>
      <c r="AA163" t="s">
        <v>36</v>
      </c>
      <c r="AB163" t="s">
        <v>36</v>
      </c>
      <c r="AC163" s="79" t="s">
        <v>36</v>
      </c>
    </row>
    <row r="164" spans="1:29" s="2" customFormat="1" x14ac:dyDescent="0.2">
      <c r="A164" t="s">
        <v>398</v>
      </c>
      <c r="B164" t="s">
        <v>399</v>
      </c>
      <c r="C164" t="s">
        <v>383</v>
      </c>
      <c r="D164" t="s">
        <v>32</v>
      </c>
      <c r="E164" t="s">
        <v>33</v>
      </c>
      <c r="F164" s="1" t="s">
        <v>395</v>
      </c>
      <c r="G164" s="1" t="str">
        <f>_xlfn.XLOOKUP(TableFA2132[[#This Row],[Project]],Projects[Project],Projects[Full Name],"")</f>
        <v>Isis Gomez</v>
      </c>
      <c r="H164" s="1" t="str">
        <f>_xlfn.XLOOKUP(TableFA2132[[#This Row],[Project]],Projects[Project],Projects[Work Email (no gmail/hotmail/etc.)],"")</f>
        <v>igome062@fiu.edu</v>
      </c>
      <c r="I164" s="1" t="str">
        <f>_xlfn.XLOOKUP(TableFA2132[[#This Row],[Project]],Projects[Project],Projects[Affiliation (Company/University/Place of Work)],"")</f>
        <v>Florida International University</v>
      </c>
      <c r="J164" s="1" t="str">
        <f>_xlfn.XLOOKUP(TableFA2132[[#This Row],[Project]],Projects[Project],Projects[Job Title],"")</f>
        <v>Capstone 2 Student</v>
      </c>
      <c r="K164" s="10">
        <f>COUNTIFS(TableFA2132[Project],TableFA2132[[#This Row],[Project]],TableFA2132[Program],TableFA2132[[#This Row],[Program]])</f>
        <v>5</v>
      </c>
      <c r="L164" s="10">
        <f>COUNTIFS(TableFA2132[Project],TableFA2132[[#This Row],[Project]])</f>
        <v>5</v>
      </c>
      <c r="M164"/>
      <c r="N164"/>
      <c r="O164"/>
      <c r="P164" t="s">
        <v>36</v>
      </c>
      <c r="Q164" t="s">
        <v>36</v>
      </c>
      <c r="R164" t="s">
        <v>36</v>
      </c>
      <c r="S164" t="s">
        <v>36</v>
      </c>
      <c r="T164" t="s">
        <v>36</v>
      </c>
      <c r="U164" t="s">
        <v>36</v>
      </c>
      <c r="V164" t="s">
        <v>36</v>
      </c>
      <c r="W164" t="s">
        <v>36</v>
      </c>
      <c r="X164" s="5" t="s">
        <v>36</v>
      </c>
      <c r="Y164" t="s">
        <v>36</v>
      </c>
      <c r="Z164" t="s">
        <v>36</v>
      </c>
      <c r="AA164" t="s">
        <v>36</v>
      </c>
      <c r="AB164" t="s">
        <v>36</v>
      </c>
      <c r="AC164" s="79" t="s">
        <v>36</v>
      </c>
    </row>
    <row r="165" spans="1:29" x14ac:dyDescent="0.2">
      <c r="A165" t="s">
        <v>400</v>
      </c>
      <c r="B165" t="s">
        <v>401</v>
      </c>
      <c r="C165" t="s">
        <v>383</v>
      </c>
      <c r="D165" t="s">
        <v>32</v>
      </c>
      <c r="E165" t="s">
        <v>33</v>
      </c>
      <c r="F165" s="1" t="s">
        <v>395</v>
      </c>
      <c r="G165" s="1" t="str">
        <f>_xlfn.XLOOKUP(TableFA2132[[#This Row],[Project]],Projects[Project],Projects[Full Name],"")</f>
        <v>Isis Gomez</v>
      </c>
      <c r="H165" s="1" t="str">
        <f>_xlfn.XLOOKUP(TableFA2132[[#This Row],[Project]],Projects[Project],Projects[Work Email (no gmail/hotmail/etc.)],"")</f>
        <v>igome062@fiu.edu</v>
      </c>
      <c r="I165" s="1" t="str">
        <f>_xlfn.XLOOKUP(TableFA2132[[#This Row],[Project]],Projects[Project],Projects[Affiliation (Company/University/Place of Work)],"")</f>
        <v>Florida International University</v>
      </c>
      <c r="J165" s="1" t="str">
        <f>_xlfn.XLOOKUP(TableFA2132[[#This Row],[Project]],Projects[Project],Projects[Job Title],"")</f>
        <v>Capstone 2 Student</v>
      </c>
      <c r="K165" s="10">
        <f>COUNTIFS(TableFA2132[Project],TableFA2132[[#This Row],[Project]],TableFA2132[Program],TableFA2132[[#This Row],[Program]])</f>
        <v>5</v>
      </c>
      <c r="L165" s="10">
        <f>COUNTIFS(TableFA2132[Project],TableFA2132[[#This Row],[Project]])</f>
        <v>5</v>
      </c>
      <c r="P165" t="s">
        <v>36</v>
      </c>
      <c r="Q165" t="s">
        <v>36</v>
      </c>
      <c r="R165" t="s">
        <v>36</v>
      </c>
      <c r="S165" t="s">
        <v>36</v>
      </c>
      <c r="T165" t="s">
        <v>36</v>
      </c>
      <c r="U165" t="s">
        <v>36</v>
      </c>
      <c r="V165" t="s">
        <v>36</v>
      </c>
      <c r="W165" t="s">
        <v>36</v>
      </c>
      <c r="X165" s="5" t="s">
        <v>36</v>
      </c>
      <c r="Y165" t="s">
        <v>36</v>
      </c>
      <c r="Z165" t="s">
        <v>36</v>
      </c>
      <c r="AA165" t="s">
        <v>36</v>
      </c>
      <c r="AB165" t="s">
        <v>36</v>
      </c>
      <c r="AC165" s="79" t="s">
        <v>36</v>
      </c>
    </row>
    <row r="166" spans="1:29" x14ac:dyDescent="0.2">
      <c r="A166" t="s">
        <v>402</v>
      </c>
      <c r="B166" t="s">
        <v>403</v>
      </c>
      <c r="C166" t="s">
        <v>383</v>
      </c>
      <c r="D166" t="s">
        <v>32</v>
      </c>
      <c r="E166" t="s">
        <v>33</v>
      </c>
      <c r="F166" s="1" t="s">
        <v>395</v>
      </c>
      <c r="G166" s="1" t="str">
        <f>_xlfn.XLOOKUP(TableFA2132[[#This Row],[Project]],Projects[Project],Projects[Full Name],"")</f>
        <v>Isis Gomez</v>
      </c>
      <c r="H166" s="1" t="str">
        <f>_xlfn.XLOOKUP(TableFA2132[[#This Row],[Project]],Projects[Project],Projects[Work Email (no gmail/hotmail/etc.)],"")</f>
        <v>igome062@fiu.edu</v>
      </c>
      <c r="I166" s="1" t="str">
        <f>_xlfn.XLOOKUP(TableFA2132[[#This Row],[Project]],Projects[Project],Projects[Affiliation (Company/University/Place of Work)],"")</f>
        <v>Florida International University</v>
      </c>
      <c r="J166" s="1" t="str">
        <f>_xlfn.XLOOKUP(TableFA2132[[#This Row],[Project]],Projects[Project],Projects[Job Title],"")</f>
        <v>Capstone 2 Student</v>
      </c>
      <c r="K166" s="10">
        <f>COUNTIFS(TableFA2132[Project],TableFA2132[[#This Row],[Project]],TableFA2132[Program],TableFA2132[[#This Row],[Program]])</f>
        <v>5</v>
      </c>
      <c r="L166" s="10">
        <f>COUNTIFS(TableFA2132[Project],TableFA2132[[#This Row],[Project]])</f>
        <v>5</v>
      </c>
      <c r="P166" t="s">
        <v>36</v>
      </c>
      <c r="Q166" t="s">
        <v>36</v>
      </c>
      <c r="R166" t="s">
        <v>36</v>
      </c>
      <c r="S166" t="s">
        <v>36</v>
      </c>
      <c r="T166" t="s">
        <v>36</v>
      </c>
      <c r="U166" t="s">
        <v>36</v>
      </c>
      <c r="V166" t="s">
        <v>36</v>
      </c>
      <c r="W166" t="s">
        <v>36</v>
      </c>
      <c r="X166" s="5" t="s">
        <v>36</v>
      </c>
      <c r="Y166" t="s">
        <v>36</v>
      </c>
      <c r="Z166" t="s">
        <v>36</v>
      </c>
      <c r="AA166" t="s">
        <v>36</v>
      </c>
      <c r="AB166" t="s">
        <v>36</v>
      </c>
      <c r="AC166" s="79" t="s">
        <v>36</v>
      </c>
    </row>
    <row r="167" spans="1:29" x14ac:dyDescent="0.2">
      <c r="A167" s="3" t="s">
        <v>404</v>
      </c>
      <c r="B167" s="3" t="s">
        <v>405</v>
      </c>
      <c r="C167" s="3" t="s">
        <v>383</v>
      </c>
      <c r="D167" s="3" t="s">
        <v>32</v>
      </c>
      <c r="E167" t="s">
        <v>33</v>
      </c>
      <c r="F167" s="10" t="s">
        <v>406</v>
      </c>
      <c r="G167" s="1" t="str">
        <f>_xlfn.XLOOKUP(TableFA2132[[#This Row],[Project]],Projects[Project],Projects[Full Name],"")</f>
        <v>Mateo Julian Escobar</v>
      </c>
      <c r="H167" s="1" t="str">
        <f>_xlfn.XLOOKUP(TableFA2132[[#This Row],[Project]],Projects[Project],Projects[Work Email (no gmail/hotmail/etc.)],"")</f>
        <v>mesco114@fiu.edu</v>
      </c>
      <c r="I167" s="1" t="str">
        <f>_xlfn.XLOOKUP(TableFA2132[[#This Row],[Project]],Projects[Project],Projects[Affiliation (Company/University/Place of Work)],"")</f>
        <v>Florida International University</v>
      </c>
      <c r="J167" s="1" t="str">
        <f>_xlfn.XLOOKUP(TableFA2132[[#This Row],[Project]],Projects[Project],Projects[Job Title],"")</f>
        <v>Capstone 2 Student</v>
      </c>
      <c r="K167" s="10">
        <f>COUNTIFS(TableFA2132[Project],TableFA2132[[#This Row],[Project]],TableFA2132[Program],TableFA2132[[#This Row],[Program]])</f>
        <v>5</v>
      </c>
      <c r="L167" s="10">
        <f>COUNTIFS(TableFA2132[Project],TableFA2132[[#This Row],[Project]])</f>
        <v>5</v>
      </c>
      <c r="M167" s="3" t="s">
        <v>35</v>
      </c>
      <c r="N167" s="3"/>
      <c r="O167" s="3"/>
      <c r="P167" s="3" t="s">
        <v>36</v>
      </c>
      <c r="Q167" s="3" t="s">
        <v>36</v>
      </c>
      <c r="R167" s="3" t="s">
        <v>36</v>
      </c>
      <c r="S167" s="3" t="s">
        <v>36</v>
      </c>
      <c r="T167" s="3" t="s">
        <v>36</v>
      </c>
      <c r="U167" s="3" t="s">
        <v>36</v>
      </c>
      <c r="V167" s="3" t="s">
        <v>36</v>
      </c>
      <c r="W167" s="3" t="s">
        <v>36</v>
      </c>
      <c r="X167" s="21" t="s">
        <v>36</v>
      </c>
      <c r="Y167" s="3" t="s">
        <v>36</v>
      </c>
      <c r="Z167" s="3" t="s">
        <v>36</v>
      </c>
      <c r="AA167" s="3" t="s">
        <v>36</v>
      </c>
      <c r="AB167" s="3" t="s">
        <v>36</v>
      </c>
      <c r="AC167" s="3" t="s">
        <v>36</v>
      </c>
    </row>
    <row r="168" spans="1:29" x14ac:dyDescent="0.2">
      <c r="A168" t="s">
        <v>407</v>
      </c>
      <c r="B168" t="s">
        <v>408</v>
      </c>
      <c r="C168" t="s">
        <v>383</v>
      </c>
      <c r="D168" t="s">
        <v>32</v>
      </c>
      <c r="E168" t="s">
        <v>33</v>
      </c>
      <c r="F168" s="1" t="s">
        <v>406</v>
      </c>
      <c r="G168" s="1" t="str">
        <f>_xlfn.XLOOKUP(TableFA2132[[#This Row],[Project]],Projects[Project],Projects[Full Name],"")</f>
        <v>Mateo Julian Escobar</v>
      </c>
      <c r="H168" s="1" t="str">
        <f>_xlfn.XLOOKUP(TableFA2132[[#This Row],[Project]],Projects[Project],Projects[Work Email (no gmail/hotmail/etc.)],"")</f>
        <v>mesco114@fiu.edu</v>
      </c>
      <c r="I168" s="1" t="str">
        <f>_xlfn.XLOOKUP(TableFA2132[[#This Row],[Project]],Projects[Project],Projects[Affiliation (Company/University/Place of Work)],"")</f>
        <v>Florida International University</v>
      </c>
      <c r="J168" s="1" t="str">
        <f>_xlfn.XLOOKUP(TableFA2132[[#This Row],[Project]],Projects[Project],Projects[Job Title],"")</f>
        <v>Capstone 2 Student</v>
      </c>
      <c r="K168" s="10">
        <f>COUNTIFS(TableFA2132[Project],TableFA2132[[#This Row],[Project]],TableFA2132[Program],TableFA2132[[#This Row],[Program]])</f>
        <v>5</v>
      </c>
      <c r="L168" s="10">
        <f>COUNTIFS(TableFA2132[Project],TableFA2132[[#This Row],[Project]])</f>
        <v>5</v>
      </c>
      <c r="P168" t="s">
        <v>36</v>
      </c>
      <c r="Q168" t="s">
        <v>36</v>
      </c>
      <c r="R168" t="s">
        <v>36</v>
      </c>
      <c r="S168" t="s">
        <v>36</v>
      </c>
      <c r="T168" t="s">
        <v>36</v>
      </c>
      <c r="U168" t="s">
        <v>36</v>
      </c>
      <c r="V168" t="s">
        <v>36</v>
      </c>
      <c r="W168" t="s">
        <v>36</v>
      </c>
      <c r="X168" s="5" t="s">
        <v>36</v>
      </c>
      <c r="Y168" t="s">
        <v>36</v>
      </c>
      <c r="Z168" t="s">
        <v>36</v>
      </c>
      <c r="AA168" t="s">
        <v>36</v>
      </c>
      <c r="AB168" t="s">
        <v>36</v>
      </c>
      <c r="AC168" t="s">
        <v>36</v>
      </c>
    </row>
    <row r="169" spans="1:29" x14ac:dyDescent="0.2">
      <c r="A169" t="s">
        <v>409</v>
      </c>
      <c r="B169" t="s">
        <v>410</v>
      </c>
      <c r="C169" t="s">
        <v>383</v>
      </c>
      <c r="D169" t="s">
        <v>32</v>
      </c>
      <c r="E169" t="s">
        <v>33</v>
      </c>
      <c r="F169" s="1" t="s">
        <v>406</v>
      </c>
      <c r="G169" s="1" t="str">
        <f>_xlfn.XLOOKUP(TableFA2132[[#This Row],[Project]],Projects[Project],Projects[Full Name],"")</f>
        <v>Mateo Julian Escobar</v>
      </c>
      <c r="H169" s="1" t="str">
        <f>_xlfn.XLOOKUP(TableFA2132[[#This Row],[Project]],Projects[Project],Projects[Work Email (no gmail/hotmail/etc.)],"")</f>
        <v>mesco114@fiu.edu</v>
      </c>
      <c r="I169" s="1" t="str">
        <f>_xlfn.XLOOKUP(TableFA2132[[#This Row],[Project]],Projects[Project],Projects[Affiliation (Company/University/Place of Work)],"")</f>
        <v>Florida International University</v>
      </c>
      <c r="J169" s="1" t="str">
        <f>_xlfn.XLOOKUP(TableFA2132[[#This Row],[Project]],Projects[Project],Projects[Job Title],"")</f>
        <v>Capstone 2 Student</v>
      </c>
      <c r="K169" s="10">
        <f>COUNTIFS(TableFA2132[Project],TableFA2132[[#This Row],[Project]],TableFA2132[Program],TableFA2132[[#This Row],[Program]])</f>
        <v>5</v>
      </c>
      <c r="L169" s="10">
        <f>COUNTIFS(TableFA2132[Project],TableFA2132[[#This Row],[Project]])</f>
        <v>5</v>
      </c>
      <c r="P169" t="s">
        <v>36</v>
      </c>
      <c r="Q169" t="s">
        <v>36</v>
      </c>
      <c r="R169" t="s">
        <v>36</v>
      </c>
      <c r="S169" t="s">
        <v>36</v>
      </c>
      <c r="T169" t="s">
        <v>36</v>
      </c>
      <c r="U169" t="s">
        <v>36</v>
      </c>
      <c r="V169" t="s">
        <v>36</v>
      </c>
      <c r="W169" t="s">
        <v>36</v>
      </c>
      <c r="X169" s="5" t="s">
        <v>36</v>
      </c>
      <c r="Y169" t="s">
        <v>36</v>
      </c>
      <c r="Z169" t="s">
        <v>36</v>
      </c>
      <c r="AA169" t="s">
        <v>36</v>
      </c>
      <c r="AB169" t="s">
        <v>36</v>
      </c>
      <c r="AC169" t="s">
        <v>36</v>
      </c>
    </row>
    <row r="170" spans="1:29" x14ac:dyDescent="0.2">
      <c r="A170" t="s">
        <v>411</v>
      </c>
      <c r="B170" t="s">
        <v>412</v>
      </c>
      <c r="C170" t="s">
        <v>383</v>
      </c>
      <c r="D170" t="s">
        <v>32</v>
      </c>
      <c r="E170" t="s">
        <v>33</v>
      </c>
      <c r="F170" s="1" t="s">
        <v>406</v>
      </c>
      <c r="G170" s="1" t="str">
        <f>_xlfn.XLOOKUP(TableFA2132[[#This Row],[Project]],Projects[Project],Projects[Full Name],"")</f>
        <v>Mateo Julian Escobar</v>
      </c>
      <c r="H170" s="1" t="str">
        <f>_xlfn.XLOOKUP(TableFA2132[[#This Row],[Project]],Projects[Project],Projects[Work Email (no gmail/hotmail/etc.)],"")</f>
        <v>mesco114@fiu.edu</v>
      </c>
      <c r="I170" s="1" t="str">
        <f>_xlfn.XLOOKUP(TableFA2132[[#This Row],[Project]],Projects[Project],Projects[Affiliation (Company/University/Place of Work)],"")</f>
        <v>Florida International University</v>
      </c>
      <c r="J170" s="1" t="str">
        <f>_xlfn.XLOOKUP(TableFA2132[[#This Row],[Project]],Projects[Project],Projects[Job Title],"")</f>
        <v>Capstone 2 Student</v>
      </c>
      <c r="K170" s="10">
        <f>COUNTIFS(TableFA2132[Project],TableFA2132[[#This Row],[Project]],TableFA2132[Program],TableFA2132[[#This Row],[Program]])</f>
        <v>5</v>
      </c>
      <c r="L170" s="10">
        <f>COUNTIFS(TableFA2132[Project],TableFA2132[[#This Row],[Project]])</f>
        <v>5</v>
      </c>
      <c r="P170" t="s">
        <v>36</v>
      </c>
      <c r="Q170" t="s">
        <v>36</v>
      </c>
      <c r="R170" t="s">
        <v>36</v>
      </c>
      <c r="S170" t="s">
        <v>36</v>
      </c>
      <c r="T170" t="s">
        <v>36</v>
      </c>
      <c r="U170" t="s">
        <v>36</v>
      </c>
      <c r="V170" t="s">
        <v>36</v>
      </c>
      <c r="W170" t="s">
        <v>36</v>
      </c>
      <c r="X170" s="5" t="s">
        <v>36</v>
      </c>
      <c r="Y170" t="s">
        <v>36</v>
      </c>
      <c r="Z170" t="s">
        <v>36</v>
      </c>
      <c r="AA170" t="s">
        <v>36</v>
      </c>
      <c r="AB170" t="s">
        <v>36</v>
      </c>
      <c r="AC170" t="s">
        <v>36</v>
      </c>
    </row>
    <row r="171" spans="1:29" x14ac:dyDescent="0.2">
      <c r="A171" t="s">
        <v>413</v>
      </c>
      <c r="B171" t="s">
        <v>414</v>
      </c>
      <c r="C171" t="s">
        <v>383</v>
      </c>
      <c r="D171" t="s">
        <v>32</v>
      </c>
      <c r="E171" t="s">
        <v>33</v>
      </c>
      <c r="F171" s="24" t="s">
        <v>406</v>
      </c>
      <c r="G171" s="1" t="str">
        <f>_xlfn.XLOOKUP(TableFA2132[[#This Row],[Project]],Projects[Project],Projects[Full Name],"")</f>
        <v>Mateo Julian Escobar</v>
      </c>
      <c r="H171" s="1" t="str">
        <f>_xlfn.XLOOKUP(TableFA2132[[#This Row],[Project]],Projects[Project],Projects[Work Email (no gmail/hotmail/etc.)],"")</f>
        <v>mesco114@fiu.edu</v>
      </c>
      <c r="I171" s="1" t="str">
        <f>_xlfn.XLOOKUP(TableFA2132[[#This Row],[Project]],Projects[Project],Projects[Affiliation (Company/University/Place of Work)],"")</f>
        <v>Florida International University</v>
      </c>
      <c r="J171" s="1" t="str">
        <f>_xlfn.XLOOKUP(TableFA2132[[#This Row],[Project]],Projects[Project],Projects[Job Title],"")</f>
        <v>Capstone 2 Student</v>
      </c>
      <c r="K171" s="10">
        <f>COUNTIFS(TableFA2132[Project],TableFA2132[[#This Row],[Project]],TableFA2132[Program],TableFA2132[[#This Row],[Program]])</f>
        <v>5</v>
      </c>
      <c r="L171" s="10">
        <f>COUNTIFS(TableFA2132[Project],TableFA2132[[#This Row],[Project]])</f>
        <v>5</v>
      </c>
      <c r="P171" t="s">
        <v>36</v>
      </c>
      <c r="Q171" t="s">
        <v>36</v>
      </c>
      <c r="R171" t="s">
        <v>36</v>
      </c>
      <c r="S171" t="s">
        <v>36</v>
      </c>
      <c r="T171" t="s">
        <v>36</v>
      </c>
      <c r="U171" t="s">
        <v>36</v>
      </c>
      <c r="V171" t="s">
        <v>36</v>
      </c>
      <c r="W171" t="s">
        <v>36</v>
      </c>
      <c r="X171" s="5" t="s">
        <v>36</v>
      </c>
      <c r="Y171" t="s">
        <v>36</v>
      </c>
      <c r="Z171" t="s">
        <v>36</v>
      </c>
      <c r="AA171" t="s">
        <v>36</v>
      </c>
      <c r="AB171" t="s">
        <v>36</v>
      </c>
      <c r="AC171" t="s">
        <v>36</v>
      </c>
    </row>
    <row r="172" spans="1:29" x14ac:dyDescent="0.2">
      <c r="A172" t="s">
        <v>415</v>
      </c>
      <c r="B172" t="s">
        <v>416</v>
      </c>
      <c r="C172" t="s">
        <v>383</v>
      </c>
      <c r="D172" t="s">
        <v>32</v>
      </c>
      <c r="E172" t="s">
        <v>33</v>
      </c>
      <c r="F172" s="1" t="s">
        <v>417</v>
      </c>
      <c r="G172" s="1" t="str">
        <f>_xlfn.XLOOKUP(TableFA2132[[#This Row],[Project]],Projects[Project],Projects[Full Name],"")</f>
        <v>Mauricio Ballart</v>
      </c>
      <c r="H172" s="1" t="str">
        <f>_xlfn.XLOOKUP(TableFA2132[[#This Row],[Project]],Projects[Project],Projects[Work Email (no gmail/hotmail/etc.)],"")</f>
        <v>Mball074@fiu.edu</v>
      </c>
      <c r="I172" s="1" t="str">
        <f>_xlfn.XLOOKUP(TableFA2132[[#This Row],[Project]],Projects[Project],Projects[Affiliation (Company/University/Place of Work)],"")</f>
        <v>Florida International University</v>
      </c>
      <c r="J172" s="1" t="str">
        <f>_xlfn.XLOOKUP(TableFA2132[[#This Row],[Project]],Projects[Project],Projects[Job Title],"")</f>
        <v>Capstone 2 Student</v>
      </c>
      <c r="K172" s="10">
        <f>COUNTIFS(TableFA2132[Project],TableFA2132[[#This Row],[Project]],TableFA2132[Program],TableFA2132[[#This Row],[Program]])</f>
        <v>5</v>
      </c>
      <c r="L172" s="10">
        <f>COUNTIFS(TableFA2132[Project],TableFA2132[[#This Row],[Project]])</f>
        <v>5</v>
      </c>
      <c r="M172" t="s">
        <v>35</v>
      </c>
      <c r="P172" t="s">
        <v>36</v>
      </c>
      <c r="Q172" t="s">
        <v>36</v>
      </c>
      <c r="R172" t="s">
        <v>36</v>
      </c>
      <c r="S172" t="s">
        <v>36</v>
      </c>
      <c r="T172" t="s">
        <v>36</v>
      </c>
      <c r="U172" t="s">
        <v>36</v>
      </c>
      <c r="V172" t="s">
        <v>74</v>
      </c>
      <c r="W172" t="s">
        <v>74</v>
      </c>
      <c r="X172" s="5" t="s">
        <v>36</v>
      </c>
      <c r="Y172" s="5" t="s">
        <v>36</v>
      </c>
      <c r="Z172" t="s">
        <v>74</v>
      </c>
      <c r="AA172" s="5" t="s">
        <v>36</v>
      </c>
      <c r="AB172" s="5" t="s">
        <v>36</v>
      </c>
      <c r="AC172" s="5" t="s">
        <v>36</v>
      </c>
    </row>
    <row r="173" spans="1:29" x14ac:dyDescent="0.2">
      <c r="A173" t="s">
        <v>418</v>
      </c>
      <c r="B173" t="s">
        <v>419</v>
      </c>
      <c r="C173" t="s">
        <v>383</v>
      </c>
      <c r="D173" t="s">
        <v>32</v>
      </c>
      <c r="E173" t="s">
        <v>33</v>
      </c>
      <c r="F173" s="1" t="s">
        <v>417</v>
      </c>
      <c r="G173" s="1" t="str">
        <f>_xlfn.XLOOKUP(TableFA2132[[#This Row],[Project]],Projects[Project],Projects[Full Name],"")</f>
        <v>Mauricio Ballart</v>
      </c>
      <c r="H173" s="1" t="str">
        <f>_xlfn.XLOOKUP(TableFA2132[[#This Row],[Project]],Projects[Project],Projects[Work Email (no gmail/hotmail/etc.)],"")</f>
        <v>Mball074@fiu.edu</v>
      </c>
      <c r="I173" s="1" t="str">
        <f>_xlfn.XLOOKUP(TableFA2132[[#This Row],[Project]],Projects[Project],Projects[Affiliation (Company/University/Place of Work)],"")</f>
        <v>Florida International University</v>
      </c>
      <c r="J173" s="1" t="str">
        <f>_xlfn.XLOOKUP(TableFA2132[[#This Row],[Project]],Projects[Project],Projects[Job Title],"")</f>
        <v>Capstone 2 Student</v>
      </c>
      <c r="K173" s="10">
        <f>COUNTIFS(TableFA2132[Project],TableFA2132[[#This Row],[Project]],TableFA2132[Program],TableFA2132[[#This Row],[Program]])</f>
        <v>5</v>
      </c>
      <c r="L173" s="10">
        <f>COUNTIFS(TableFA2132[Project],TableFA2132[[#This Row],[Project]])</f>
        <v>5</v>
      </c>
      <c r="P173" t="s">
        <v>36</v>
      </c>
      <c r="Q173" t="s">
        <v>36</v>
      </c>
      <c r="R173" t="s">
        <v>36</v>
      </c>
      <c r="S173" t="s">
        <v>36</v>
      </c>
      <c r="T173" t="s">
        <v>36</v>
      </c>
      <c r="U173" t="s">
        <v>36</v>
      </c>
      <c r="V173" t="s">
        <v>36</v>
      </c>
      <c r="W173" t="s">
        <v>36</v>
      </c>
      <c r="X173" s="5" t="s">
        <v>36</v>
      </c>
      <c r="Y173" t="s">
        <v>36</v>
      </c>
      <c r="Z173" s="5" t="s">
        <v>36</v>
      </c>
      <c r="AA173" t="s">
        <v>36</v>
      </c>
      <c r="AB173" t="s">
        <v>36</v>
      </c>
      <c r="AC173" t="s">
        <v>36</v>
      </c>
    </row>
    <row r="174" spans="1:29" x14ac:dyDescent="0.2">
      <c r="A174" t="s">
        <v>420</v>
      </c>
      <c r="B174" t="s">
        <v>421</v>
      </c>
      <c r="C174" t="s">
        <v>383</v>
      </c>
      <c r="D174" t="s">
        <v>32</v>
      </c>
      <c r="E174" t="s">
        <v>33</v>
      </c>
      <c r="F174" s="1" t="s">
        <v>417</v>
      </c>
      <c r="G174" s="1" t="str">
        <f>_xlfn.XLOOKUP(TableFA2132[[#This Row],[Project]],Projects[Project],Projects[Full Name],"")</f>
        <v>Mauricio Ballart</v>
      </c>
      <c r="H174" s="1" t="str">
        <f>_xlfn.XLOOKUP(TableFA2132[[#This Row],[Project]],Projects[Project],Projects[Work Email (no gmail/hotmail/etc.)],"")</f>
        <v>Mball074@fiu.edu</v>
      </c>
      <c r="I174" s="1" t="str">
        <f>_xlfn.XLOOKUP(TableFA2132[[#This Row],[Project]],Projects[Project],Projects[Affiliation (Company/University/Place of Work)],"")</f>
        <v>Florida International University</v>
      </c>
      <c r="J174" s="1" t="str">
        <f>_xlfn.XLOOKUP(TableFA2132[[#This Row],[Project]],Projects[Project],Projects[Job Title],"")</f>
        <v>Capstone 2 Student</v>
      </c>
      <c r="K174" s="10">
        <f>COUNTIFS(TableFA2132[Project],TableFA2132[[#This Row],[Project]],TableFA2132[Program],TableFA2132[[#This Row],[Program]])</f>
        <v>5</v>
      </c>
      <c r="L174" s="10">
        <f>COUNTIFS(TableFA2132[Project],TableFA2132[[#This Row],[Project]])</f>
        <v>5</v>
      </c>
      <c r="P174" t="s">
        <v>36</v>
      </c>
      <c r="Q174" t="s">
        <v>36</v>
      </c>
      <c r="R174" t="s">
        <v>36</v>
      </c>
      <c r="S174" t="s">
        <v>36</v>
      </c>
      <c r="T174" t="s">
        <v>36</v>
      </c>
      <c r="U174" t="s">
        <v>36</v>
      </c>
      <c r="V174" t="s">
        <v>36</v>
      </c>
      <c r="W174" t="s">
        <v>36</v>
      </c>
      <c r="X174" s="5" t="s">
        <v>36</v>
      </c>
      <c r="Y174" t="s">
        <v>36</v>
      </c>
      <c r="Z174" s="5" t="s">
        <v>36</v>
      </c>
      <c r="AA174" t="s">
        <v>36</v>
      </c>
      <c r="AB174" t="s">
        <v>36</v>
      </c>
      <c r="AC174" t="s">
        <v>36</v>
      </c>
    </row>
    <row r="175" spans="1:29" x14ac:dyDescent="0.2">
      <c r="A175" t="s">
        <v>422</v>
      </c>
      <c r="B175" t="s">
        <v>423</v>
      </c>
      <c r="C175" t="s">
        <v>383</v>
      </c>
      <c r="D175" t="s">
        <v>32</v>
      </c>
      <c r="E175" t="s">
        <v>33</v>
      </c>
      <c r="F175" s="1" t="s">
        <v>417</v>
      </c>
      <c r="G175" s="1" t="str">
        <f>_xlfn.XLOOKUP(TableFA2132[[#This Row],[Project]],Projects[Project],Projects[Full Name],"")</f>
        <v>Mauricio Ballart</v>
      </c>
      <c r="H175" s="1" t="str">
        <f>_xlfn.XLOOKUP(TableFA2132[[#This Row],[Project]],Projects[Project],Projects[Work Email (no gmail/hotmail/etc.)],"")</f>
        <v>Mball074@fiu.edu</v>
      </c>
      <c r="I175" s="1" t="str">
        <f>_xlfn.XLOOKUP(TableFA2132[[#This Row],[Project]],Projects[Project],Projects[Affiliation (Company/University/Place of Work)],"")</f>
        <v>Florida International University</v>
      </c>
      <c r="J175" s="1" t="str">
        <f>_xlfn.XLOOKUP(TableFA2132[[#This Row],[Project]],Projects[Project],Projects[Job Title],"")</f>
        <v>Capstone 2 Student</v>
      </c>
      <c r="K175" s="10">
        <f>COUNTIFS(TableFA2132[Project],TableFA2132[[#This Row],[Project]],TableFA2132[Program],TableFA2132[[#This Row],[Program]])</f>
        <v>5</v>
      </c>
      <c r="L175" s="10">
        <f>COUNTIFS(TableFA2132[Project],TableFA2132[[#This Row],[Project]])</f>
        <v>5</v>
      </c>
      <c r="P175" t="s">
        <v>36</v>
      </c>
      <c r="Q175" t="s">
        <v>36</v>
      </c>
      <c r="R175" t="s">
        <v>36</v>
      </c>
      <c r="S175" t="s">
        <v>36</v>
      </c>
      <c r="T175" t="s">
        <v>36</v>
      </c>
      <c r="U175" t="s">
        <v>36</v>
      </c>
      <c r="V175" t="s">
        <v>36</v>
      </c>
      <c r="W175" t="s">
        <v>36</v>
      </c>
      <c r="X175" s="5" t="s">
        <v>36</v>
      </c>
      <c r="Y175" t="s">
        <v>36</v>
      </c>
      <c r="Z175" s="5" t="s">
        <v>36</v>
      </c>
      <c r="AA175" t="s">
        <v>36</v>
      </c>
      <c r="AB175" t="s">
        <v>36</v>
      </c>
      <c r="AC175" t="s">
        <v>36</v>
      </c>
    </row>
    <row r="176" spans="1:29" x14ac:dyDescent="0.2">
      <c r="A176" t="s">
        <v>424</v>
      </c>
      <c r="B176" t="s">
        <v>425</v>
      </c>
      <c r="C176" t="s">
        <v>383</v>
      </c>
      <c r="D176" t="s">
        <v>32</v>
      </c>
      <c r="E176" t="s">
        <v>33</v>
      </c>
      <c r="F176" s="1" t="s">
        <v>417</v>
      </c>
      <c r="G176" s="1" t="str">
        <f>_xlfn.XLOOKUP(TableFA2132[[#This Row],[Project]],Projects[Project],Projects[Full Name],"")</f>
        <v>Mauricio Ballart</v>
      </c>
      <c r="H176" s="1" t="str">
        <f>_xlfn.XLOOKUP(TableFA2132[[#This Row],[Project]],Projects[Project],Projects[Work Email (no gmail/hotmail/etc.)],"")</f>
        <v>Mball074@fiu.edu</v>
      </c>
      <c r="I176" s="1" t="str">
        <f>_xlfn.XLOOKUP(TableFA2132[[#This Row],[Project]],Projects[Project],Projects[Affiliation (Company/University/Place of Work)],"")</f>
        <v>Florida International University</v>
      </c>
      <c r="J176" s="1" t="str">
        <f>_xlfn.XLOOKUP(TableFA2132[[#This Row],[Project]],Projects[Project],Projects[Job Title],"")</f>
        <v>Capstone 2 Student</v>
      </c>
      <c r="K176" s="10">
        <f>COUNTIFS(TableFA2132[Project],TableFA2132[[#This Row],[Project]],TableFA2132[Program],TableFA2132[[#This Row],[Program]])</f>
        <v>5</v>
      </c>
      <c r="L176" s="10">
        <f>COUNTIFS(TableFA2132[Project],TableFA2132[[#This Row],[Project]])</f>
        <v>5</v>
      </c>
      <c r="P176" t="s">
        <v>36</v>
      </c>
      <c r="Q176" t="s">
        <v>36</v>
      </c>
      <c r="R176" t="s">
        <v>36</v>
      </c>
      <c r="S176" t="s">
        <v>36</v>
      </c>
      <c r="T176" t="s">
        <v>36</v>
      </c>
      <c r="U176" t="s">
        <v>36</v>
      </c>
      <c r="V176" t="s">
        <v>36</v>
      </c>
      <c r="W176" t="s">
        <v>36</v>
      </c>
      <c r="X176" s="5" t="s">
        <v>36</v>
      </c>
      <c r="Y176" t="s">
        <v>36</v>
      </c>
      <c r="Z176" s="5" t="s">
        <v>36</v>
      </c>
      <c r="AA176" t="s">
        <v>36</v>
      </c>
      <c r="AB176" t="s">
        <v>36</v>
      </c>
      <c r="AC176" t="s">
        <v>36</v>
      </c>
    </row>
    <row r="177" spans="1:29" x14ac:dyDescent="0.2">
      <c r="A177" s="3" t="s">
        <v>426</v>
      </c>
      <c r="B177" s="3" t="s">
        <v>427</v>
      </c>
      <c r="C177" s="3" t="s">
        <v>383</v>
      </c>
      <c r="D177" s="3" t="s">
        <v>32</v>
      </c>
      <c r="E177" t="s">
        <v>33</v>
      </c>
      <c r="F177" s="10" t="s">
        <v>428</v>
      </c>
      <c r="G177" s="10" t="str">
        <f>_xlfn.XLOOKUP(TableFA2132[[#This Row],[Project]],Projects[Project],Projects[Full Name],"")</f>
        <v>Matthew Chaar</v>
      </c>
      <c r="H177" s="10" t="str">
        <f>_xlfn.XLOOKUP(TableFA2132[[#This Row],[Project]],Projects[Project],Projects[Work Email (no gmail/hotmail/etc.)],"")</f>
        <v>mchaa003@fiu.edu</v>
      </c>
      <c r="I177" s="10" t="str">
        <f>_xlfn.XLOOKUP(TableFA2132[[#This Row],[Project]],Projects[Project],Projects[Affiliation (Company/University/Place of Work)],"")</f>
        <v>Florida International University</v>
      </c>
      <c r="J177" s="10" t="str">
        <f>_xlfn.XLOOKUP(TableFA2132[[#This Row],[Project]],Projects[Project],Projects[Job Title],"")</f>
        <v>Capstone 2 Student</v>
      </c>
      <c r="K177" s="10">
        <f>COUNTIFS(TableFA2132[Project],TableFA2132[[#This Row],[Project]],TableFA2132[Program],TableFA2132[[#This Row],[Program]])</f>
        <v>5</v>
      </c>
      <c r="L177" s="10">
        <f>COUNTIFS(TableFA2132[Project],TableFA2132[[#This Row],[Project]])</f>
        <v>5</v>
      </c>
      <c r="M177" s="3" t="s">
        <v>35</v>
      </c>
      <c r="P177" t="s">
        <v>36</v>
      </c>
      <c r="Q177" t="s">
        <v>36</v>
      </c>
      <c r="R177" t="s">
        <v>36</v>
      </c>
      <c r="S177" t="s">
        <v>36</v>
      </c>
      <c r="T177" t="s">
        <v>36</v>
      </c>
      <c r="U177" t="s">
        <v>36</v>
      </c>
      <c r="V177" t="s">
        <v>36</v>
      </c>
      <c r="W177" t="s">
        <v>36</v>
      </c>
      <c r="X177" s="5" t="s">
        <v>36</v>
      </c>
      <c r="Y177" t="s">
        <v>36</v>
      </c>
      <c r="Z177" t="s">
        <v>36</v>
      </c>
      <c r="AA177" t="s">
        <v>36</v>
      </c>
      <c r="AB177" t="s">
        <v>36</v>
      </c>
      <c r="AC177" t="s">
        <v>36</v>
      </c>
    </row>
    <row r="178" spans="1:29" x14ac:dyDescent="0.2">
      <c r="A178" t="s">
        <v>429</v>
      </c>
      <c r="B178" t="s">
        <v>430</v>
      </c>
      <c r="C178" t="s">
        <v>383</v>
      </c>
      <c r="D178" t="s">
        <v>32</v>
      </c>
      <c r="E178" t="s">
        <v>33</v>
      </c>
      <c r="F178" s="1" t="s">
        <v>428</v>
      </c>
      <c r="G178" s="1" t="str">
        <f>_xlfn.XLOOKUP(TableFA2132[[#This Row],[Project]],Projects[Project],Projects[Full Name],"")</f>
        <v>Matthew Chaar</v>
      </c>
      <c r="H178" s="1" t="str">
        <f>_xlfn.XLOOKUP(TableFA2132[[#This Row],[Project]],Projects[Project],Projects[Work Email (no gmail/hotmail/etc.)],"")</f>
        <v>mchaa003@fiu.edu</v>
      </c>
      <c r="I178" s="1" t="str">
        <f>_xlfn.XLOOKUP(TableFA2132[[#This Row],[Project]],Projects[Project],Projects[Affiliation (Company/University/Place of Work)],"")</f>
        <v>Florida International University</v>
      </c>
      <c r="J178" s="1" t="str">
        <f>_xlfn.XLOOKUP(TableFA2132[[#This Row],[Project]],Projects[Project],Projects[Job Title],"")</f>
        <v>Capstone 2 Student</v>
      </c>
      <c r="K178" s="10">
        <f>COUNTIFS(TableFA2132[Project],TableFA2132[[#This Row],[Project]],TableFA2132[Program],TableFA2132[[#This Row],[Program]])</f>
        <v>5</v>
      </c>
      <c r="L178" s="10">
        <f>COUNTIFS(TableFA2132[Project],TableFA2132[[#This Row],[Project]])</f>
        <v>5</v>
      </c>
      <c r="P178" t="s">
        <v>36</v>
      </c>
      <c r="Q178" t="s">
        <v>36</v>
      </c>
      <c r="R178" t="s">
        <v>36</v>
      </c>
      <c r="S178" t="s">
        <v>36</v>
      </c>
      <c r="T178" t="s">
        <v>36</v>
      </c>
      <c r="U178" t="s">
        <v>36</v>
      </c>
      <c r="V178" t="s">
        <v>36</v>
      </c>
      <c r="W178" t="s">
        <v>36</v>
      </c>
      <c r="X178" s="5" t="s">
        <v>36</v>
      </c>
      <c r="Y178" t="s">
        <v>36</v>
      </c>
      <c r="Z178" t="s">
        <v>36</v>
      </c>
      <c r="AA178" t="s">
        <v>36</v>
      </c>
      <c r="AB178" t="s">
        <v>36</v>
      </c>
      <c r="AC178" t="s">
        <v>36</v>
      </c>
    </row>
    <row r="179" spans="1:29" x14ac:dyDescent="0.2">
      <c r="A179" t="s">
        <v>431</v>
      </c>
      <c r="B179" t="s">
        <v>432</v>
      </c>
      <c r="C179" t="s">
        <v>383</v>
      </c>
      <c r="D179" t="s">
        <v>32</v>
      </c>
      <c r="E179" t="s">
        <v>33</v>
      </c>
      <c r="F179" s="1" t="s">
        <v>428</v>
      </c>
      <c r="G179" s="1" t="str">
        <f>_xlfn.XLOOKUP(TableFA2132[[#This Row],[Project]],Projects[Project],Projects[Full Name],"")</f>
        <v>Matthew Chaar</v>
      </c>
      <c r="H179" s="1" t="str">
        <f>_xlfn.XLOOKUP(TableFA2132[[#This Row],[Project]],Projects[Project],Projects[Work Email (no gmail/hotmail/etc.)],"")</f>
        <v>mchaa003@fiu.edu</v>
      </c>
      <c r="I179" s="1" t="str">
        <f>_xlfn.XLOOKUP(TableFA2132[[#This Row],[Project]],Projects[Project],Projects[Affiliation (Company/University/Place of Work)],"")</f>
        <v>Florida International University</v>
      </c>
      <c r="J179" s="1" t="str">
        <f>_xlfn.XLOOKUP(TableFA2132[[#This Row],[Project]],Projects[Project],Projects[Job Title],"")</f>
        <v>Capstone 2 Student</v>
      </c>
      <c r="K179" s="10">
        <f>COUNTIFS(TableFA2132[Project],TableFA2132[[#This Row],[Project]],TableFA2132[Program],TableFA2132[[#This Row],[Program]])</f>
        <v>5</v>
      </c>
      <c r="L179" s="10">
        <f>COUNTIFS(TableFA2132[Project],TableFA2132[[#This Row],[Project]])</f>
        <v>5</v>
      </c>
      <c r="P179" t="s">
        <v>36</v>
      </c>
      <c r="Q179" t="s">
        <v>36</v>
      </c>
      <c r="R179" t="s">
        <v>36</v>
      </c>
      <c r="S179" t="s">
        <v>36</v>
      </c>
      <c r="T179" t="s">
        <v>36</v>
      </c>
      <c r="U179" t="s">
        <v>36</v>
      </c>
      <c r="V179" t="s">
        <v>36</v>
      </c>
      <c r="W179" t="s">
        <v>36</v>
      </c>
      <c r="X179" s="5" t="s">
        <v>36</v>
      </c>
      <c r="Y179" t="s">
        <v>36</v>
      </c>
      <c r="Z179" t="s">
        <v>36</v>
      </c>
      <c r="AA179" t="s">
        <v>36</v>
      </c>
      <c r="AB179" t="s">
        <v>36</v>
      </c>
      <c r="AC179" t="s">
        <v>36</v>
      </c>
    </row>
    <row r="180" spans="1:29" x14ac:dyDescent="0.2">
      <c r="A180" t="s">
        <v>433</v>
      </c>
      <c r="B180" t="s">
        <v>434</v>
      </c>
      <c r="C180" t="s">
        <v>383</v>
      </c>
      <c r="D180" t="s">
        <v>32</v>
      </c>
      <c r="E180" t="s">
        <v>33</v>
      </c>
      <c r="F180" s="1" t="s">
        <v>428</v>
      </c>
      <c r="G180" s="1" t="str">
        <f>_xlfn.XLOOKUP(TableFA2132[[#This Row],[Project]],Projects[Project],Projects[Full Name],"")</f>
        <v>Matthew Chaar</v>
      </c>
      <c r="H180" s="1" t="str">
        <f>_xlfn.XLOOKUP(TableFA2132[[#This Row],[Project]],Projects[Project],Projects[Work Email (no gmail/hotmail/etc.)],"")</f>
        <v>mchaa003@fiu.edu</v>
      </c>
      <c r="I180" s="1" t="str">
        <f>_xlfn.XLOOKUP(TableFA2132[[#This Row],[Project]],Projects[Project],Projects[Affiliation (Company/University/Place of Work)],"")</f>
        <v>Florida International University</v>
      </c>
      <c r="J180" s="1" t="str">
        <f>_xlfn.XLOOKUP(TableFA2132[[#This Row],[Project]],Projects[Project],Projects[Job Title],"")</f>
        <v>Capstone 2 Student</v>
      </c>
      <c r="K180" s="10">
        <f>COUNTIFS(TableFA2132[Project],TableFA2132[[#This Row],[Project]],TableFA2132[Program],TableFA2132[[#This Row],[Program]])</f>
        <v>5</v>
      </c>
      <c r="L180" s="10">
        <f>COUNTIFS(TableFA2132[Project],TableFA2132[[#This Row],[Project]])</f>
        <v>5</v>
      </c>
      <c r="P180" t="s">
        <v>36</v>
      </c>
      <c r="Q180" t="s">
        <v>36</v>
      </c>
      <c r="R180" t="s">
        <v>36</v>
      </c>
      <c r="S180" t="s">
        <v>36</v>
      </c>
      <c r="T180" t="s">
        <v>36</v>
      </c>
      <c r="U180" t="s">
        <v>36</v>
      </c>
      <c r="V180" t="s">
        <v>36</v>
      </c>
      <c r="W180" t="s">
        <v>36</v>
      </c>
      <c r="X180" s="5" t="s">
        <v>36</v>
      </c>
      <c r="Y180" t="s">
        <v>36</v>
      </c>
      <c r="Z180" t="s">
        <v>36</v>
      </c>
      <c r="AA180" t="s">
        <v>36</v>
      </c>
      <c r="AB180" t="s">
        <v>36</v>
      </c>
      <c r="AC180" t="s">
        <v>36</v>
      </c>
    </row>
    <row r="181" spans="1:29" x14ac:dyDescent="0.2">
      <c r="A181" t="s">
        <v>435</v>
      </c>
      <c r="B181" t="s">
        <v>436</v>
      </c>
      <c r="C181" t="s">
        <v>383</v>
      </c>
      <c r="D181" t="s">
        <v>32</v>
      </c>
      <c r="E181" t="s">
        <v>33</v>
      </c>
      <c r="F181" s="1" t="s">
        <v>428</v>
      </c>
      <c r="G181" s="1" t="str">
        <f>_xlfn.XLOOKUP(TableFA2132[[#This Row],[Project]],Projects[Project],Projects[Full Name],"")</f>
        <v>Matthew Chaar</v>
      </c>
      <c r="H181" s="1" t="str">
        <f>_xlfn.XLOOKUP(TableFA2132[[#This Row],[Project]],Projects[Project],Projects[Work Email (no gmail/hotmail/etc.)],"")</f>
        <v>mchaa003@fiu.edu</v>
      </c>
      <c r="I181" s="1" t="str">
        <f>_xlfn.XLOOKUP(TableFA2132[[#This Row],[Project]],Projects[Project],Projects[Affiliation (Company/University/Place of Work)],"")</f>
        <v>Florida International University</v>
      </c>
      <c r="J181" s="1" t="str">
        <f>_xlfn.XLOOKUP(TableFA2132[[#This Row],[Project]],Projects[Project],Projects[Job Title],"")</f>
        <v>Capstone 2 Student</v>
      </c>
      <c r="K181" s="10">
        <f>COUNTIFS(TableFA2132[Project],TableFA2132[[#This Row],[Project]],TableFA2132[Program],TableFA2132[[#This Row],[Program]])</f>
        <v>5</v>
      </c>
      <c r="L181" s="10">
        <f>COUNTIFS(TableFA2132[Project],TableFA2132[[#This Row],[Project]])</f>
        <v>5</v>
      </c>
      <c r="P181" t="s">
        <v>36</v>
      </c>
      <c r="Q181" t="s">
        <v>36</v>
      </c>
      <c r="R181" t="s">
        <v>36</v>
      </c>
      <c r="S181" t="s">
        <v>36</v>
      </c>
      <c r="T181" t="s">
        <v>36</v>
      </c>
      <c r="U181" t="s">
        <v>36</v>
      </c>
      <c r="V181" t="s">
        <v>36</v>
      </c>
      <c r="W181" t="s">
        <v>36</v>
      </c>
      <c r="X181" s="5" t="s">
        <v>36</v>
      </c>
      <c r="Y181" t="s">
        <v>36</v>
      </c>
      <c r="Z181" t="s">
        <v>36</v>
      </c>
      <c r="AA181" t="s">
        <v>36</v>
      </c>
      <c r="AB181" t="s">
        <v>36</v>
      </c>
      <c r="AC181" t="s">
        <v>36</v>
      </c>
    </row>
    <row r="182" spans="1:29" x14ac:dyDescent="0.2">
      <c r="A182" s="3" t="s">
        <v>437</v>
      </c>
      <c r="B182" s="3" t="s">
        <v>438</v>
      </c>
      <c r="C182" s="3" t="s">
        <v>383</v>
      </c>
      <c r="D182" s="3" t="s">
        <v>32</v>
      </c>
      <c r="E182" t="s">
        <v>33</v>
      </c>
      <c r="F182" s="10" t="s">
        <v>439</v>
      </c>
      <c r="G182" s="1" t="str">
        <f>_xlfn.XLOOKUP(TableFA2132[[#This Row],[Project]],Projects[Project],Projects[Full Name],"")</f>
        <v>Brandon Gerber</v>
      </c>
      <c r="H182" s="1" t="str">
        <f>_xlfn.XLOOKUP(TableFA2132[[#This Row],[Project]],Projects[Project],Projects[Work Email (no gmail/hotmail/etc.)],"")</f>
        <v>bgerb004@fiu.edu</v>
      </c>
      <c r="I182" s="1" t="str">
        <f>_xlfn.XLOOKUP(TableFA2132[[#This Row],[Project]],Projects[Project],Projects[Affiliation (Company/University/Place of Work)],"")</f>
        <v>Florida International University</v>
      </c>
      <c r="J182" s="1" t="str">
        <f>_xlfn.XLOOKUP(TableFA2132[[#This Row],[Project]],Projects[Project],Projects[Job Title],"")</f>
        <v>Capstone 2 Student</v>
      </c>
      <c r="K182" s="10">
        <f>COUNTIFS(TableFA2132[Project],TableFA2132[[#This Row],[Project]],TableFA2132[Program],TableFA2132[[#This Row],[Program]])</f>
        <v>5</v>
      </c>
      <c r="L182" s="10">
        <f>COUNTIFS(TableFA2132[Project],TableFA2132[[#This Row],[Project]])</f>
        <v>5</v>
      </c>
      <c r="M182" s="3" t="s">
        <v>35</v>
      </c>
      <c r="N182" s="3"/>
      <c r="O182" s="3"/>
      <c r="P182" s="3" t="s">
        <v>36</v>
      </c>
      <c r="Q182" s="3" t="s">
        <v>36</v>
      </c>
      <c r="R182" s="3" t="s">
        <v>36</v>
      </c>
      <c r="S182" s="3" t="s">
        <v>36</v>
      </c>
      <c r="T182" s="3" t="s">
        <v>36</v>
      </c>
      <c r="U182" s="3" t="s">
        <v>36</v>
      </c>
      <c r="V182" s="3" t="s">
        <v>36</v>
      </c>
      <c r="W182" s="3" t="s">
        <v>36</v>
      </c>
      <c r="X182" s="21" t="s">
        <v>36</v>
      </c>
      <c r="Y182" s="3" t="s">
        <v>36</v>
      </c>
      <c r="Z182" s="3" t="s">
        <v>36</v>
      </c>
      <c r="AA182" s="3" t="s">
        <v>36</v>
      </c>
      <c r="AB182" s="3" t="s">
        <v>36</v>
      </c>
      <c r="AC182" s="3" t="s">
        <v>36</v>
      </c>
    </row>
    <row r="183" spans="1:29" x14ac:dyDescent="0.2">
      <c r="A183" t="s">
        <v>440</v>
      </c>
      <c r="B183" t="s">
        <v>441</v>
      </c>
      <c r="C183" t="s">
        <v>383</v>
      </c>
      <c r="D183" t="s">
        <v>32</v>
      </c>
      <c r="E183" t="s">
        <v>33</v>
      </c>
      <c r="F183" s="1" t="s">
        <v>439</v>
      </c>
      <c r="G183" s="1" t="str">
        <f>_xlfn.XLOOKUP(TableFA2132[[#This Row],[Project]],Projects[Project],Projects[Full Name],"")</f>
        <v>Brandon Gerber</v>
      </c>
      <c r="H183" s="1" t="str">
        <f>_xlfn.XLOOKUP(TableFA2132[[#This Row],[Project]],Projects[Project],Projects[Work Email (no gmail/hotmail/etc.)],"")</f>
        <v>bgerb004@fiu.edu</v>
      </c>
      <c r="I183" s="1" t="str">
        <f>_xlfn.XLOOKUP(TableFA2132[[#This Row],[Project]],Projects[Project],Projects[Affiliation (Company/University/Place of Work)],"")</f>
        <v>Florida International University</v>
      </c>
      <c r="J183" s="1" t="str">
        <f>_xlfn.XLOOKUP(TableFA2132[[#This Row],[Project]],Projects[Project],Projects[Job Title],"")</f>
        <v>Capstone 2 Student</v>
      </c>
      <c r="K183" s="10">
        <f>COUNTIFS(TableFA2132[Project],TableFA2132[[#This Row],[Project]],TableFA2132[Program],TableFA2132[[#This Row],[Program]])</f>
        <v>5</v>
      </c>
      <c r="L183" s="10">
        <f>COUNTIFS(TableFA2132[Project],TableFA2132[[#This Row],[Project]])</f>
        <v>5</v>
      </c>
      <c r="P183" t="s">
        <v>36</v>
      </c>
      <c r="Q183" t="s">
        <v>36</v>
      </c>
      <c r="R183" t="s">
        <v>36</v>
      </c>
      <c r="S183" t="s">
        <v>36</v>
      </c>
      <c r="T183" t="s">
        <v>36</v>
      </c>
      <c r="U183" t="s">
        <v>36</v>
      </c>
      <c r="V183" t="s">
        <v>36</v>
      </c>
      <c r="W183" t="s">
        <v>36</v>
      </c>
      <c r="X183" s="5" t="s">
        <v>36</v>
      </c>
      <c r="Y183" t="s">
        <v>36</v>
      </c>
      <c r="Z183" t="s">
        <v>36</v>
      </c>
      <c r="AA183" t="s">
        <v>36</v>
      </c>
      <c r="AB183" t="s">
        <v>36</v>
      </c>
      <c r="AC183" s="3" t="s">
        <v>36</v>
      </c>
    </row>
    <row r="184" spans="1:29" x14ac:dyDescent="0.2">
      <c r="A184" t="s">
        <v>442</v>
      </c>
      <c r="B184" t="s">
        <v>443</v>
      </c>
      <c r="C184" t="s">
        <v>383</v>
      </c>
      <c r="D184" t="s">
        <v>32</v>
      </c>
      <c r="E184" t="s">
        <v>33</v>
      </c>
      <c r="F184" s="1" t="s">
        <v>439</v>
      </c>
      <c r="G184" s="1" t="str">
        <f>_xlfn.XLOOKUP(TableFA2132[[#This Row],[Project]],Projects[Project],Projects[Full Name],"")</f>
        <v>Brandon Gerber</v>
      </c>
      <c r="H184" s="1" t="str">
        <f>_xlfn.XLOOKUP(TableFA2132[[#This Row],[Project]],Projects[Project],Projects[Work Email (no gmail/hotmail/etc.)],"")</f>
        <v>bgerb004@fiu.edu</v>
      </c>
      <c r="I184" s="1" t="str">
        <f>_xlfn.XLOOKUP(TableFA2132[[#This Row],[Project]],Projects[Project],Projects[Affiliation (Company/University/Place of Work)],"")</f>
        <v>Florida International University</v>
      </c>
      <c r="J184" s="1" t="str">
        <f>_xlfn.XLOOKUP(TableFA2132[[#This Row],[Project]],Projects[Project],Projects[Job Title],"")</f>
        <v>Capstone 2 Student</v>
      </c>
      <c r="K184" s="10">
        <f>COUNTIFS(TableFA2132[Project],TableFA2132[[#This Row],[Project]],TableFA2132[Program],TableFA2132[[#This Row],[Program]])</f>
        <v>5</v>
      </c>
      <c r="L184" s="10">
        <f>COUNTIFS(TableFA2132[Project],TableFA2132[[#This Row],[Project]])</f>
        <v>5</v>
      </c>
      <c r="P184" t="s">
        <v>36</v>
      </c>
      <c r="Q184" t="s">
        <v>36</v>
      </c>
      <c r="R184" t="s">
        <v>36</v>
      </c>
      <c r="S184" t="s">
        <v>36</v>
      </c>
      <c r="T184" t="s">
        <v>36</v>
      </c>
      <c r="U184" t="s">
        <v>36</v>
      </c>
      <c r="V184" t="s">
        <v>36</v>
      </c>
      <c r="W184" t="s">
        <v>36</v>
      </c>
      <c r="X184" s="5" t="s">
        <v>36</v>
      </c>
      <c r="Y184" t="s">
        <v>36</v>
      </c>
      <c r="Z184" t="s">
        <v>36</v>
      </c>
      <c r="AA184" t="s">
        <v>36</v>
      </c>
      <c r="AB184" t="s">
        <v>36</v>
      </c>
      <c r="AC184" s="3" t="s">
        <v>36</v>
      </c>
    </row>
    <row r="185" spans="1:29" x14ac:dyDescent="0.2">
      <c r="A185" t="s">
        <v>444</v>
      </c>
      <c r="B185" t="s">
        <v>445</v>
      </c>
      <c r="C185" t="s">
        <v>383</v>
      </c>
      <c r="D185" t="s">
        <v>32</v>
      </c>
      <c r="E185" t="s">
        <v>33</v>
      </c>
      <c r="F185" s="1" t="s">
        <v>439</v>
      </c>
      <c r="G185" s="1" t="str">
        <f>_xlfn.XLOOKUP(TableFA2132[[#This Row],[Project]],Projects[Project],Projects[Full Name],"")</f>
        <v>Brandon Gerber</v>
      </c>
      <c r="H185" s="1" t="str">
        <f>_xlfn.XLOOKUP(TableFA2132[[#This Row],[Project]],Projects[Project],Projects[Work Email (no gmail/hotmail/etc.)],"")</f>
        <v>bgerb004@fiu.edu</v>
      </c>
      <c r="I185" s="1" t="str">
        <f>_xlfn.XLOOKUP(TableFA2132[[#This Row],[Project]],Projects[Project],Projects[Affiliation (Company/University/Place of Work)],"")</f>
        <v>Florida International University</v>
      </c>
      <c r="J185" s="1" t="str">
        <f>_xlfn.XLOOKUP(TableFA2132[[#This Row],[Project]],Projects[Project],Projects[Job Title],"")</f>
        <v>Capstone 2 Student</v>
      </c>
      <c r="K185" s="10">
        <f>COUNTIFS(TableFA2132[Project],TableFA2132[[#This Row],[Project]],TableFA2132[Program],TableFA2132[[#This Row],[Program]])</f>
        <v>5</v>
      </c>
      <c r="L185" s="10">
        <f>COUNTIFS(TableFA2132[Project],TableFA2132[[#This Row],[Project]])</f>
        <v>5</v>
      </c>
      <c r="P185" t="s">
        <v>36</v>
      </c>
      <c r="Q185" t="s">
        <v>36</v>
      </c>
      <c r="R185" t="s">
        <v>36</v>
      </c>
      <c r="S185" t="s">
        <v>36</v>
      </c>
      <c r="T185" t="s">
        <v>36</v>
      </c>
      <c r="U185" t="s">
        <v>36</v>
      </c>
      <c r="V185" t="s">
        <v>36</v>
      </c>
      <c r="W185" t="s">
        <v>36</v>
      </c>
      <c r="X185" s="5" t="s">
        <v>36</v>
      </c>
      <c r="Y185" t="s">
        <v>36</v>
      </c>
      <c r="Z185" t="s">
        <v>36</v>
      </c>
      <c r="AA185" t="s">
        <v>36</v>
      </c>
      <c r="AB185" t="s">
        <v>36</v>
      </c>
      <c r="AC185" s="3" t="s">
        <v>36</v>
      </c>
    </row>
    <row r="186" spans="1:29" s="3" customFormat="1" x14ac:dyDescent="0.2">
      <c r="A186" t="s">
        <v>446</v>
      </c>
      <c r="B186" t="s">
        <v>447</v>
      </c>
      <c r="C186" t="s">
        <v>383</v>
      </c>
      <c r="D186" t="s">
        <v>32</v>
      </c>
      <c r="E186" t="s">
        <v>33</v>
      </c>
      <c r="F186" s="1" t="s">
        <v>439</v>
      </c>
      <c r="G186" s="1" t="str">
        <f>_xlfn.XLOOKUP(TableFA2132[[#This Row],[Project]],Projects[Project],Projects[Full Name],"")</f>
        <v>Brandon Gerber</v>
      </c>
      <c r="H186" s="1" t="str">
        <f>_xlfn.XLOOKUP(TableFA2132[[#This Row],[Project]],Projects[Project],Projects[Work Email (no gmail/hotmail/etc.)],"")</f>
        <v>bgerb004@fiu.edu</v>
      </c>
      <c r="I186" s="1" t="str">
        <f>_xlfn.XLOOKUP(TableFA2132[[#This Row],[Project]],Projects[Project],Projects[Affiliation (Company/University/Place of Work)],"")</f>
        <v>Florida International University</v>
      </c>
      <c r="J186" s="1" t="str">
        <f>_xlfn.XLOOKUP(TableFA2132[[#This Row],[Project]],Projects[Project],Projects[Job Title],"")</f>
        <v>Capstone 2 Student</v>
      </c>
      <c r="K186" s="10">
        <f>COUNTIFS(TableFA2132[Project],TableFA2132[[#This Row],[Project]],TableFA2132[Program],TableFA2132[[#This Row],[Program]])</f>
        <v>5</v>
      </c>
      <c r="L186" s="10">
        <f>COUNTIFS(TableFA2132[Project],TableFA2132[[#This Row],[Project]])</f>
        <v>5</v>
      </c>
      <c r="M186"/>
      <c r="N186"/>
      <c r="O186"/>
      <c r="P186" t="s">
        <v>36</v>
      </c>
      <c r="Q186" t="s">
        <v>36</v>
      </c>
      <c r="R186" t="s">
        <v>36</v>
      </c>
      <c r="S186" t="s">
        <v>36</v>
      </c>
      <c r="T186" t="s">
        <v>36</v>
      </c>
      <c r="U186" t="s">
        <v>36</v>
      </c>
      <c r="V186" t="s">
        <v>36</v>
      </c>
      <c r="W186" t="s">
        <v>36</v>
      </c>
      <c r="X186" s="5" t="s">
        <v>36</v>
      </c>
      <c r="Y186" t="s">
        <v>36</v>
      </c>
      <c r="Z186" t="s">
        <v>36</v>
      </c>
      <c r="AA186" t="s">
        <v>36</v>
      </c>
      <c r="AB186" t="s">
        <v>36</v>
      </c>
      <c r="AC186" s="3" t="s">
        <v>36</v>
      </c>
    </row>
    <row r="187" spans="1:29" x14ac:dyDescent="0.2">
      <c r="A187" s="3" t="s">
        <v>448</v>
      </c>
      <c r="B187" s="3" t="s">
        <v>449</v>
      </c>
      <c r="C187" s="3" t="s">
        <v>383</v>
      </c>
      <c r="D187" s="3" t="s">
        <v>32</v>
      </c>
      <c r="E187" t="s">
        <v>33</v>
      </c>
      <c r="F187" s="10" t="s">
        <v>450</v>
      </c>
      <c r="G187" s="10" t="str">
        <f>_xlfn.XLOOKUP(TableFA2132[[#This Row],[Project]],Projects[Project],Projects[Full Name],"")</f>
        <v>Weidong Zhu</v>
      </c>
      <c r="H187" s="10" t="str">
        <f>_xlfn.XLOOKUP(TableFA2132[[#This Row],[Project]],Projects[Project],Projects[Work Email (no gmail/hotmail/etc.)],"")</f>
        <v>weizhu@fiu.edu</v>
      </c>
      <c r="I187" s="10" t="str">
        <f>_xlfn.XLOOKUP(TableFA2132[[#This Row],[Project]],Projects[Project],Projects[Affiliation (Company/University/Place of Work)],"")</f>
        <v>KFSCIS at FIU</v>
      </c>
      <c r="J187" s="10" t="str">
        <f>_xlfn.XLOOKUP(TableFA2132[[#This Row],[Project]],Projects[Project],Projects[Job Title],"")</f>
        <v>Assistant Professor</v>
      </c>
      <c r="K187" s="10">
        <f>COUNTIFS(TableFA2132[Project],TableFA2132[[#This Row],[Project]],TableFA2132[Program],TableFA2132[[#This Row],[Program]])</f>
        <v>5</v>
      </c>
      <c r="L187" s="10">
        <f>COUNTIFS(TableFA2132[Project],TableFA2132[[#This Row],[Project]])</f>
        <v>5</v>
      </c>
      <c r="M187" s="3" t="s">
        <v>35</v>
      </c>
      <c r="N187" s="3"/>
      <c r="O187" s="3"/>
      <c r="P187" s="3" t="s">
        <v>36</v>
      </c>
      <c r="Q187" s="3" t="s">
        <v>36</v>
      </c>
      <c r="R187" s="3" t="s">
        <v>36</v>
      </c>
      <c r="S187" s="3" t="s">
        <v>36</v>
      </c>
      <c r="T187" s="3" t="s">
        <v>36</v>
      </c>
      <c r="U187" s="3" t="s">
        <v>36</v>
      </c>
      <c r="V187" s="3" t="s">
        <v>36</v>
      </c>
      <c r="W187" s="3" t="s">
        <v>36</v>
      </c>
      <c r="X187" s="21" t="s">
        <v>36</v>
      </c>
      <c r="Y187" s="3" t="s">
        <v>36</v>
      </c>
      <c r="Z187" s="3" t="s">
        <v>36</v>
      </c>
      <c r="AA187" s="3"/>
      <c r="AB187" s="3"/>
      <c r="AC187" s="3"/>
    </row>
    <row r="188" spans="1:29" x14ac:dyDescent="0.2">
      <c r="A188" t="s">
        <v>451</v>
      </c>
      <c r="B188" t="s">
        <v>452</v>
      </c>
      <c r="C188" t="s">
        <v>383</v>
      </c>
      <c r="D188" t="s">
        <v>32</v>
      </c>
      <c r="E188" t="s">
        <v>33</v>
      </c>
      <c r="F188" s="1" t="s">
        <v>450</v>
      </c>
      <c r="G188" s="1" t="str">
        <f>_xlfn.XLOOKUP(TableFA2132[[#This Row],[Project]],Projects[Project],Projects[Full Name],"")</f>
        <v>Weidong Zhu</v>
      </c>
      <c r="H188" s="1" t="str">
        <f>_xlfn.XLOOKUP(TableFA2132[[#This Row],[Project]],Projects[Project],Projects[Work Email (no gmail/hotmail/etc.)],"")</f>
        <v>weizhu@fiu.edu</v>
      </c>
      <c r="I188" s="1" t="str">
        <f>_xlfn.XLOOKUP(TableFA2132[[#This Row],[Project]],Projects[Project],Projects[Affiliation (Company/University/Place of Work)],"")</f>
        <v>KFSCIS at FIU</v>
      </c>
      <c r="J188" s="1" t="str">
        <f>_xlfn.XLOOKUP(TableFA2132[[#This Row],[Project]],Projects[Project],Projects[Job Title],"")</f>
        <v>Assistant Professor</v>
      </c>
      <c r="K188" s="10">
        <f>COUNTIFS(TableFA2132[Project],TableFA2132[[#This Row],[Project]],TableFA2132[Program],TableFA2132[[#This Row],[Program]])</f>
        <v>5</v>
      </c>
      <c r="L188" s="10">
        <f>COUNTIFS(TableFA2132[Project],TableFA2132[[#This Row],[Project]])</f>
        <v>5</v>
      </c>
      <c r="P188" t="s">
        <v>36</v>
      </c>
      <c r="Q188" t="s">
        <v>36</v>
      </c>
      <c r="R188" t="s">
        <v>36</v>
      </c>
      <c r="S188" t="s">
        <v>36</v>
      </c>
      <c r="T188" t="s">
        <v>36</v>
      </c>
      <c r="U188" t="s">
        <v>36</v>
      </c>
      <c r="V188" t="s">
        <v>36</v>
      </c>
      <c r="W188" t="s">
        <v>36</v>
      </c>
      <c r="X188" s="5" t="s">
        <v>36</v>
      </c>
      <c r="Y188" t="s">
        <v>36</v>
      </c>
      <c r="Z188" t="s">
        <v>36</v>
      </c>
    </row>
    <row r="189" spans="1:29" x14ac:dyDescent="0.2">
      <c r="A189" t="s">
        <v>453</v>
      </c>
      <c r="B189" t="s">
        <v>454</v>
      </c>
      <c r="C189" t="s">
        <v>383</v>
      </c>
      <c r="D189" t="s">
        <v>32</v>
      </c>
      <c r="E189" t="s">
        <v>33</v>
      </c>
      <c r="F189" s="1" t="s">
        <v>450</v>
      </c>
      <c r="G189" s="1" t="str">
        <f>_xlfn.XLOOKUP(TableFA2132[[#This Row],[Project]],Projects[Project],Projects[Full Name],"")</f>
        <v>Weidong Zhu</v>
      </c>
      <c r="H189" s="1" t="str">
        <f>_xlfn.XLOOKUP(TableFA2132[[#This Row],[Project]],Projects[Project],Projects[Work Email (no gmail/hotmail/etc.)],"")</f>
        <v>weizhu@fiu.edu</v>
      </c>
      <c r="I189" s="1" t="str">
        <f>_xlfn.XLOOKUP(TableFA2132[[#This Row],[Project]],Projects[Project],Projects[Affiliation (Company/University/Place of Work)],"")</f>
        <v>KFSCIS at FIU</v>
      </c>
      <c r="J189" s="1" t="str">
        <f>_xlfn.XLOOKUP(TableFA2132[[#This Row],[Project]],Projects[Project],Projects[Job Title],"")</f>
        <v>Assistant Professor</v>
      </c>
      <c r="K189" s="10">
        <f>COUNTIFS(TableFA2132[Project],TableFA2132[[#This Row],[Project]],TableFA2132[Program],TableFA2132[[#This Row],[Program]])</f>
        <v>5</v>
      </c>
      <c r="L189" s="10">
        <f>COUNTIFS(TableFA2132[Project],TableFA2132[[#This Row],[Project]])</f>
        <v>5</v>
      </c>
      <c r="P189" t="s">
        <v>36</v>
      </c>
      <c r="Q189" t="s">
        <v>36</v>
      </c>
      <c r="R189" t="s">
        <v>36</v>
      </c>
      <c r="S189" t="s">
        <v>36</v>
      </c>
      <c r="T189" t="s">
        <v>36</v>
      </c>
      <c r="U189" t="s">
        <v>36</v>
      </c>
      <c r="V189" t="s">
        <v>36</v>
      </c>
      <c r="W189" t="s">
        <v>36</v>
      </c>
      <c r="X189" s="5" t="s">
        <v>36</v>
      </c>
      <c r="Y189" t="s">
        <v>36</v>
      </c>
      <c r="Z189" t="s">
        <v>36</v>
      </c>
    </row>
    <row r="190" spans="1:29" x14ac:dyDescent="0.2">
      <c r="A190" t="s">
        <v>455</v>
      </c>
      <c r="B190" t="s">
        <v>456</v>
      </c>
      <c r="C190" t="s">
        <v>383</v>
      </c>
      <c r="D190" t="s">
        <v>32</v>
      </c>
      <c r="E190" t="s">
        <v>33</v>
      </c>
      <c r="F190" s="1" t="s">
        <v>450</v>
      </c>
      <c r="G190" s="1" t="str">
        <f>_xlfn.XLOOKUP(TableFA2132[[#This Row],[Project]],Projects[Project],Projects[Full Name],"")</f>
        <v>Weidong Zhu</v>
      </c>
      <c r="H190" s="1" t="str">
        <f>_xlfn.XLOOKUP(TableFA2132[[#This Row],[Project]],Projects[Project],Projects[Work Email (no gmail/hotmail/etc.)],"")</f>
        <v>weizhu@fiu.edu</v>
      </c>
      <c r="I190" s="1" t="str">
        <f>_xlfn.XLOOKUP(TableFA2132[[#This Row],[Project]],Projects[Project],Projects[Affiliation (Company/University/Place of Work)],"")</f>
        <v>KFSCIS at FIU</v>
      </c>
      <c r="J190" s="1" t="str">
        <f>_xlfn.XLOOKUP(TableFA2132[[#This Row],[Project]],Projects[Project],Projects[Job Title],"")</f>
        <v>Assistant Professor</v>
      </c>
      <c r="K190" s="10">
        <f>COUNTIFS(TableFA2132[Project],TableFA2132[[#This Row],[Project]],TableFA2132[Program],TableFA2132[[#This Row],[Program]])</f>
        <v>5</v>
      </c>
      <c r="L190" s="10">
        <f>COUNTIFS(TableFA2132[Project],TableFA2132[[#This Row],[Project]])</f>
        <v>5</v>
      </c>
      <c r="P190" t="s">
        <v>36</v>
      </c>
      <c r="Q190" t="s">
        <v>36</v>
      </c>
      <c r="R190" t="s">
        <v>36</v>
      </c>
      <c r="S190" t="s">
        <v>36</v>
      </c>
      <c r="T190" t="s">
        <v>36</v>
      </c>
      <c r="U190" t="s">
        <v>36</v>
      </c>
      <c r="V190" t="s">
        <v>36</v>
      </c>
      <c r="W190" t="s">
        <v>36</v>
      </c>
      <c r="X190" s="5" t="s">
        <v>36</v>
      </c>
      <c r="Y190" t="s">
        <v>36</v>
      </c>
      <c r="Z190" t="s">
        <v>36</v>
      </c>
    </row>
    <row r="191" spans="1:29" x14ac:dyDescent="0.2">
      <c r="A191" t="s">
        <v>457</v>
      </c>
      <c r="B191" t="s">
        <v>458</v>
      </c>
      <c r="C191" t="s">
        <v>383</v>
      </c>
      <c r="D191" t="s">
        <v>32</v>
      </c>
      <c r="E191" t="s">
        <v>33</v>
      </c>
      <c r="F191" s="1" t="s">
        <v>450</v>
      </c>
      <c r="G191" s="1" t="str">
        <f>_xlfn.XLOOKUP(TableFA2132[[#This Row],[Project]],Projects[Project],Projects[Full Name],"")</f>
        <v>Weidong Zhu</v>
      </c>
      <c r="H191" s="1" t="str">
        <f>_xlfn.XLOOKUP(TableFA2132[[#This Row],[Project]],Projects[Project],Projects[Work Email (no gmail/hotmail/etc.)],"")</f>
        <v>weizhu@fiu.edu</v>
      </c>
      <c r="I191" s="1" t="str">
        <f>_xlfn.XLOOKUP(TableFA2132[[#This Row],[Project]],Projects[Project],Projects[Affiliation (Company/University/Place of Work)],"")</f>
        <v>KFSCIS at FIU</v>
      </c>
      <c r="J191" s="1" t="str">
        <f>_xlfn.XLOOKUP(TableFA2132[[#This Row],[Project]],Projects[Project],Projects[Job Title],"")</f>
        <v>Assistant Professor</v>
      </c>
      <c r="K191" s="10">
        <f>COUNTIFS(TableFA2132[Project],TableFA2132[[#This Row],[Project]],TableFA2132[Program],TableFA2132[[#This Row],[Program]])</f>
        <v>5</v>
      </c>
      <c r="L191" s="10">
        <f>COUNTIFS(TableFA2132[Project],TableFA2132[[#This Row],[Project]])</f>
        <v>5</v>
      </c>
      <c r="P191" t="s">
        <v>36</v>
      </c>
      <c r="Q191" t="s">
        <v>36</v>
      </c>
      <c r="R191" t="s">
        <v>36</v>
      </c>
      <c r="S191" t="s">
        <v>36</v>
      </c>
      <c r="T191" t="s">
        <v>36</v>
      </c>
      <c r="U191" t="s">
        <v>36</v>
      </c>
      <c r="V191" t="s">
        <v>36</v>
      </c>
      <c r="W191" t="s">
        <v>36</v>
      </c>
      <c r="X191" s="5" t="s">
        <v>36</v>
      </c>
      <c r="Y191" t="s">
        <v>36</v>
      </c>
      <c r="Z191" t="s">
        <v>36</v>
      </c>
    </row>
    <row r="192" spans="1:29" x14ac:dyDescent="0.2">
      <c r="A192" s="3" t="s">
        <v>459</v>
      </c>
      <c r="B192" s="3" t="s">
        <v>460</v>
      </c>
      <c r="C192" s="3" t="s">
        <v>383</v>
      </c>
      <c r="D192" s="3" t="s">
        <v>32</v>
      </c>
      <c r="E192" t="s">
        <v>33</v>
      </c>
      <c r="F192" s="10" t="s">
        <v>461</v>
      </c>
      <c r="G192" s="1" t="str">
        <f>_xlfn.XLOOKUP(TableFA2132[[#This Row],[Project]],Projects[Project],Projects[Full Name],"")</f>
        <v>Stefan Dumitrasku</v>
      </c>
      <c r="H192" s="1" t="str">
        <f>_xlfn.XLOOKUP(TableFA2132[[#This Row],[Project]],Projects[Project],Projects[Work Email (no gmail/hotmail/etc.)],"")</f>
        <v>sdumi001@fiu.edu</v>
      </c>
      <c r="I192" s="1" t="str">
        <f>_xlfn.XLOOKUP(TableFA2132[[#This Row],[Project]],Projects[Project],Projects[Affiliation (Company/University/Place of Work)],"")</f>
        <v>Florida International University</v>
      </c>
      <c r="J192" s="1" t="str">
        <f>_xlfn.XLOOKUP(TableFA2132[[#This Row],[Project]],Projects[Project],Projects[Job Title],"")</f>
        <v>Capstone 2 Student</v>
      </c>
      <c r="K192" s="10">
        <f>COUNTIFS(TableFA2132[Project],TableFA2132[[#This Row],[Project]],TableFA2132[Program],TableFA2132[[#This Row],[Program]])</f>
        <v>5</v>
      </c>
      <c r="L192" s="10">
        <f>COUNTIFS(TableFA2132[Project],TableFA2132[[#This Row],[Project]])</f>
        <v>5</v>
      </c>
      <c r="M192" s="3" t="s">
        <v>35</v>
      </c>
      <c r="N192" s="3"/>
      <c r="O192" s="3"/>
      <c r="P192" s="3" t="s">
        <v>36</v>
      </c>
      <c r="Q192" s="3" t="s">
        <v>36</v>
      </c>
      <c r="R192" s="3" t="s">
        <v>36</v>
      </c>
      <c r="S192" s="3" t="s">
        <v>36</v>
      </c>
      <c r="T192" s="3" t="s">
        <v>36</v>
      </c>
      <c r="U192" s="3" t="s">
        <v>36</v>
      </c>
      <c r="V192" s="3" t="s">
        <v>36</v>
      </c>
      <c r="W192" s="3" t="s">
        <v>36</v>
      </c>
      <c r="X192" s="3" t="s">
        <v>36</v>
      </c>
      <c r="Y192" s="3" t="s">
        <v>36</v>
      </c>
      <c r="Z192" s="3" t="s">
        <v>36</v>
      </c>
      <c r="AA192" s="3" t="s">
        <v>36</v>
      </c>
      <c r="AB192" s="3" t="s">
        <v>36</v>
      </c>
      <c r="AC192" s="3" t="s">
        <v>36</v>
      </c>
    </row>
    <row r="193" spans="1:29" x14ac:dyDescent="0.2">
      <c r="A193" t="s">
        <v>462</v>
      </c>
      <c r="B193" t="s">
        <v>463</v>
      </c>
      <c r="C193" t="s">
        <v>383</v>
      </c>
      <c r="D193" t="s">
        <v>32</v>
      </c>
      <c r="E193" t="s">
        <v>33</v>
      </c>
      <c r="F193" s="1" t="s">
        <v>461</v>
      </c>
      <c r="G193" s="1" t="str">
        <f>_xlfn.XLOOKUP(TableFA2132[[#This Row],[Project]],Projects[Project],Projects[Full Name],"")</f>
        <v>Stefan Dumitrasku</v>
      </c>
      <c r="H193" s="1" t="str">
        <f>_xlfn.XLOOKUP(TableFA2132[[#This Row],[Project]],Projects[Project],Projects[Work Email (no gmail/hotmail/etc.)],"")</f>
        <v>sdumi001@fiu.edu</v>
      </c>
      <c r="I193" s="1" t="str">
        <f>_xlfn.XLOOKUP(TableFA2132[[#This Row],[Project]],Projects[Project],Projects[Affiliation (Company/University/Place of Work)],"")</f>
        <v>Florida International University</v>
      </c>
      <c r="J193" s="1" t="str">
        <f>_xlfn.XLOOKUP(TableFA2132[[#This Row],[Project]],Projects[Project],Projects[Job Title],"")</f>
        <v>Capstone 2 Student</v>
      </c>
      <c r="K193" s="10">
        <f>COUNTIFS(TableFA2132[Project],TableFA2132[[#This Row],[Project]],TableFA2132[Program],TableFA2132[[#This Row],[Program]])</f>
        <v>5</v>
      </c>
      <c r="L193" s="10">
        <f>COUNTIFS(TableFA2132[Project],TableFA2132[[#This Row],[Project]])</f>
        <v>5</v>
      </c>
      <c r="P193" s="3" t="s">
        <v>36</v>
      </c>
      <c r="Q193" s="3" t="s">
        <v>36</v>
      </c>
      <c r="R193" s="3" t="s">
        <v>36</v>
      </c>
      <c r="S193" s="3" t="s">
        <v>36</v>
      </c>
      <c r="T193" s="3" t="s">
        <v>36</v>
      </c>
      <c r="U193" s="3" t="s">
        <v>36</v>
      </c>
      <c r="V193" s="3" t="s">
        <v>36</v>
      </c>
      <c r="W193" s="3" t="s">
        <v>36</v>
      </c>
      <c r="X193" s="3" t="s">
        <v>36</v>
      </c>
      <c r="Y193" s="3" t="s">
        <v>36</v>
      </c>
      <c r="Z193" s="3" t="s">
        <v>36</v>
      </c>
      <c r="AA193" s="3" t="s">
        <v>36</v>
      </c>
      <c r="AB193" s="3" t="s">
        <v>36</v>
      </c>
      <c r="AC193" s="3" t="s">
        <v>36</v>
      </c>
    </row>
    <row r="194" spans="1:29" x14ac:dyDescent="0.2">
      <c r="A194" t="s">
        <v>464</v>
      </c>
      <c r="B194" t="s">
        <v>465</v>
      </c>
      <c r="C194" t="s">
        <v>383</v>
      </c>
      <c r="D194" t="s">
        <v>32</v>
      </c>
      <c r="E194" t="s">
        <v>33</v>
      </c>
      <c r="F194" s="1" t="s">
        <v>461</v>
      </c>
      <c r="G194" s="1" t="str">
        <f>_xlfn.XLOOKUP(TableFA2132[[#This Row],[Project]],Projects[Project],Projects[Full Name],"")</f>
        <v>Stefan Dumitrasku</v>
      </c>
      <c r="H194" s="1" t="str">
        <f>_xlfn.XLOOKUP(TableFA2132[[#This Row],[Project]],Projects[Project],Projects[Work Email (no gmail/hotmail/etc.)],"")</f>
        <v>sdumi001@fiu.edu</v>
      </c>
      <c r="I194" s="1" t="str">
        <f>_xlfn.XLOOKUP(TableFA2132[[#This Row],[Project]],Projects[Project],Projects[Affiliation (Company/University/Place of Work)],"")</f>
        <v>Florida International University</v>
      </c>
      <c r="J194" s="1" t="str">
        <f>_xlfn.XLOOKUP(TableFA2132[[#This Row],[Project]],Projects[Project],Projects[Job Title],"")</f>
        <v>Capstone 2 Student</v>
      </c>
      <c r="K194" s="10">
        <f>COUNTIFS(TableFA2132[Project],TableFA2132[[#This Row],[Project]],TableFA2132[Program],TableFA2132[[#This Row],[Program]])</f>
        <v>5</v>
      </c>
      <c r="L194" s="10">
        <f>COUNTIFS(TableFA2132[Project],TableFA2132[[#This Row],[Project]])</f>
        <v>5</v>
      </c>
      <c r="P194" s="3" t="s">
        <v>36</v>
      </c>
      <c r="Q194" s="3" t="s">
        <v>36</v>
      </c>
      <c r="R194" s="3" t="s">
        <v>36</v>
      </c>
      <c r="S194" s="3" t="s">
        <v>36</v>
      </c>
      <c r="T194" s="3" t="s">
        <v>36</v>
      </c>
      <c r="U194" s="3" t="s">
        <v>36</v>
      </c>
      <c r="V194" s="3" t="s">
        <v>36</v>
      </c>
      <c r="W194" s="3" t="s">
        <v>36</v>
      </c>
      <c r="X194" s="3" t="s">
        <v>36</v>
      </c>
      <c r="Y194" s="3" t="s">
        <v>36</v>
      </c>
      <c r="Z194" s="3" t="s">
        <v>36</v>
      </c>
      <c r="AA194" s="3" t="s">
        <v>36</v>
      </c>
      <c r="AB194" s="3" t="s">
        <v>36</v>
      </c>
      <c r="AC194" s="3" t="s">
        <v>36</v>
      </c>
    </row>
    <row r="195" spans="1:29" x14ac:dyDescent="0.2">
      <c r="A195" t="s">
        <v>466</v>
      </c>
      <c r="B195" t="s">
        <v>467</v>
      </c>
      <c r="C195" t="s">
        <v>383</v>
      </c>
      <c r="D195" t="s">
        <v>32</v>
      </c>
      <c r="E195" t="s">
        <v>33</v>
      </c>
      <c r="F195" s="1" t="s">
        <v>461</v>
      </c>
      <c r="G195" s="1" t="str">
        <f>_xlfn.XLOOKUP(TableFA2132[[#This Row],[Project]],Projects[Project],Projects[Full Name],"")</f>
        <v>Stefan Dumitrasku</v>
      </c>
      <c r="H195" s="1" t="str">
        <f>_xlfn.XLOOKUP(TableFA2132[[#This Row],[Project]],Projects[Project],Projects[Work Email (no gmail/hotmail/etc.)],"")</f>
        <v>sdumi001@fiu.edu</v>
      </c>
      <c r="I195" s="1" t="str">
        <f>_xlfn.XLOOKUP(TableFA2132[[#This Row],[Project]],Projects[Project],Projects[Affiliation (Company/University/Place of Work)],"")</f>
        <v>Florida International University</v>
      </c>
      <c r="J195" s="1" t="str">
        <f>_xlfn.XLOOKUP(TableFA2132[[#This Row],[Project]],Projects[Project],Projects[Job Title],"")</f>
        <v>Capstone 2 Student</v>
      </c>
      <c r="K195" s="10">
        <f>COUNTIFS(TableFA2132[Project],TableFA2132[[#This Row],[Project]],TableFA2132[Program],TableFA2132[[#This Row],[Program]])</f>
        <v>5</v>
      </c>
      <c r="L195" s="10">
        <f>COUNTIFS(TableFA2132[Project],TableFA2132[[#This Row],[Project]])</f>
        <v>5</v>
      </c>
      <c r="P195" s="3" t="s">
        <v>36</v>
      </c>
      <c r="Q195" s="3" t="s">
        <v>36</v>
      </c>
      <c r="R195" s="3" t="s">
        <v>36</v>
      </c>
      <c r="S195" s="3" t="s">
        <v>36</v>
      </c>
      <c r="T195" s="3" t="s">
        <v>36</v>
      </c>
      <c r="U195" s="3" t="s">
        <v>36</v>
      </c>
      <c r="V195" s="3" t="s">
        <v>36</v>
      </c>
      <c r="W195" s="3" t="s">
        <v>36</v>
      </c>
      <c r="X195" s="3" t="s">
        <v>36</v>
      </c>
      <c r="Y195" s="3" t="s">
        <v>36</v>
      </c>
      <c r="Z195" s="3" t="s">
        <v>36</v>
      </c>
      <c r="AA195" s="3" t="s">
        <v>36</v>
      </c>
      <c r="AB195" s="3" t="s">
        <v>36</v>
      </c>
      <c r="AC195" s="3" t="s">
        <v>36</v>
      </c>
    </row>
    <row r="196" spans="1:29" x14ac:dyDescent="0.2">
      <c r="A196" t="s">
        <v>468</v>
      </c>
      <c r="B196" t="s">
        <v>469</v>
      </c>
      <c r="C196" t="s">
        <v>383</v>
      </c>
      <c r="D196" t="s">
        <v>32</v>
      </c>
      <c r="E196" t="s">
        <v>33</v>
      </c>
      <c r="F196" s="1" t="s">
        <v>461</v>
      </c>
      <c r="G196" s="1" t="str">
        <f>_xlfn.XLOOKUP(TableFA2132[[#This Row],[Project]],Projects[Project],Projects[Full Name],"")</f>
        <v>Stefan Dumitrasku</v>
      </c>
      <c r="H196" s="1" t="str">
        <f>_xlfn.XLOOKUP(TableFA2132[[#This Row],[Project]],Projects[Project],Projects[Work Email (no gmail/hotmail/etc.)],"")</f>
        <v>sdumi001@fiu.edu</v>
      </c>
      <c r="I196" s="1" t="str">
        <f>_xlfn.XLOOKUP(TableFA2132[[#This Row],[Project]],Projects[Project],Projects[Affiliation (Company/University/Place of Work)],"")</f>
        <v>Florida International University</v>
      </c>
      <c r="J196" s="1" t="str">
        <f>_xlfn.XLOOKUP(TableFA2132[[#This Row],[Project]],Projects[Project],Projects[Job Title],"")</f>
        <v>Capstone 2 Student</v>
      </c>
      <c r="K196" s="10">
        <f>COUNTIFS(TableFA2132[Project],TableFA2132[[#This Row],[Project]],TableFA2132[Program],TableFA2132[[#This Row],[Program]])</f>
        <v>5</v>
      </c>
      <c r="L196" s="10">
        <f>COUNTIFS(TableFA2132[Project],TableFA2132[[#This Row],[Project]])</f>
        <v>5</v>
      </c>
      <c r="P196" s="3" t="s">
        <v>36</v>
      </c>
      <c r="Q196" s="3" t="s">
        <v>36</v>
      </c>
      <c r="R196" s="3" t="s">
        <v>36</v>
      </c>
      <c r="S196" s="3" t="s">
        <v>36</v>
      </c>
      <c r="T196" s="3" t="s">
        <v>36</v>
      </c>
      <c r="U196" s="3" t="s">
        <v>36</v>
      </c>
      <c r="V196" s="3" t="s">
        <v>36</v>
      </c>
      <c r="W196" s="3" t="s">
        <v>36</v>
      </c>
      <c r="X196" s="3" t="s">
        <v>36</v>
      </c>
      <c r="Y196" s="3" t="s">
        <v>36</v>
      </c>
      <c r="Z196" s="3" t="s">
        <v>36</v>
      </c>
      <c r="AA196" s="3" t="s">
        <v>36</v>
      </c>
      <c r="AB196" s="3" t="s">
        <v>36</v>
      </c>
      <c r="AC196" s="3" t="s">
        <v>36</v>
      </c>
    </row>
    <row r="197" spans="1:29" x14ac:dyDescent="0.2">
      <c r="A197" s="3" t="s">
        <v>470</v>
      </c>
      <c r="B197" s="3" t="s">
        <v>471</v>
      </c>
      <c r="C197" s="3" t="s">
        <v>383</v>
      </c>
      <c r="D197" s="3" t="s">
        <v>32</v>
      </c>
      <c r="E197" t="s">
        <v>33</v>
      </c>
      <c r="F197" s="10" t="s">
        <v>472</v>
      </c>
      <c r="G197" s="1" t="str">
        <f>_xlfn.XLOOKUP(TableFA2132[[#This Row],[Project]],Projects[Project],Projects[Full Name],"")</f>
        <v xml:space="preserve">Damian Figueroa-Gonzalez </v>
      </c>
      <c r="H197" s="1" t="str">
        <f>_xlfn.XLOOKUP(TableFA2132[[#This Row],[Project]],Projects[Project],Projects[Work Email (no gmail/hotmail/etc.)],"")</f>
        <v>dfigu048@fiu.edu</v>
      </c>
      <c r="I197" s="1" t="str">
        <f>_xlfn.XLOOKUP(TableFA2132[[#This Row],[Project]],Projects[Project],Projects[Affiliation (Company/University/Place of Work)],"")</f>
        <v>Florida International University</v>
      </c>
      <c r="J197" s="1" t="str">
        <f>_xlfn.XLOOKUP(TableFA2132[[#This Row],[Project]],Projects[Project],Projects[Job Title],"")</f>
        <v>Capstone 2 Student</v>
      </c>
      <c r="K197" s="10">
        <f>COUNTIFS(TableFA2132[Project],TableFA2132[[#This Row],[Project]],TableFA2132[Program],TableFA2132[[#This Row],[Program]])</f>
        <v>4</v>
      </c>
      <c r="L197" s="10">
        <f>COUNTIFS(TableFA2132[Project],TableFA2132[[#This Row],[Project]])</f>
        <v>4</v>
      </c>
      <c r="M197" s="22" t="s">
        <v>35</v>
      </c>
      <c r="P197" t="s">
        <v>36</v>
      </c>
      <c r="Q197" t="s">
        <v>36</v>
      </c>
      <c r="R197" t="s">
        <v>36</v>
      </c>
      <c r="S197" t="s">
        <v>36</v>
      </c>
      <c r="T197" t="s">
        <v>36</v>
      </c>
      <c r="U197" t="s">
        <v>36</v>
      </c>
      <c r="V197" t="s">
        <v>36</v>
      </c>
      <c r="W197" t="s">
        <v>36</v>
      </c>
      <c r="X197" s="5" t="s">
        <v>36</v>
      </c>
      <c r="Y197" t="s">
        <v>36</v>
      </c>
      <c r="Z197"/>
    </row>
    <row r="198" spans="1:29" x14ac:dyDescent="0.2">
      <c r="A198" t="s">
        <v>473</v>
      </c>
      <c r="B198" t="s">
        <v>474</v>
      </c>
      <c r="C198" t="s">
        <v>383</v>
      </c>
      <c r="D198" t="s">
        <v>32</v>
      </c>
      <c r="E198" t="s">
        <v>33</v>
      </c>
      <c r="F198" s="1" t="s">
        <v>472</v>
      </c>
      <c r="G198" s="1" t="str">
        <f>_xlfn.XLOOKUP(TableFA2132[[#This Row],[Project]],Projects[Project],Projects[Full Name],"")</f>
        <v xml:space="preserve">Damian Figueroa-Gonzalez </v>
      </c>
      <c r="H198" s="1" t="str">
        <f>_xlfn.XLOOKUP(TableFA2132[[#This Row],[Project]],Projects[Project],Projects[Work Email (no gmail/hotmail/etc.)],"")</f>
        <v>dfigu048@fiu.edu</v>
      </c>
      <c r="I198" s="1" t="str">
        <f>_xlfn.XLOOKUP(TableFA2132[[#This Row],[Project]],Projects[Project],Projects[Affiliation (Company/University/Place of Work)],"")</f>
        <v>Florida International University</v>
      </c>
      <c r="J198" s="1" t="str">
        <f>_xlfn.XLOOKUP(TableFA2132[[#This Row],[Project]],Projects[Project],Projects[Job Title],"")</f>
        <v>Capstone 2 Student</v>
      </c>
      <c r="K198" s="10">
        <f>COUNTIFS(TableFA2132[Project],TableFA2132[[#This Row],[Project]],TableFA2132[Program],TableFA2132[[#This Row],[Program]])</f>
        <v>4</v>
      </c>
      <c r="L198" s="10">
        <f>COUNTIFS(TableFA2132[Project],TableFA2132[[#This Row],[Project]])</f>
        <v>4</v>
      </c>
      <c r="M198" s="3"/>
      <c r="N198" s="3"/>
      <c r="O198" s="3"/>
      <c r="P198" t="s">
        <v>36</v>
      </c>
      <c r="Q198" t="s">
        <v>36</v>
      </c>
      <c r="R198" s="3" t="s">
        <v>36</v>
      </c>
      <c r="S198" s="3" t="s">
        <v>36</v>
      </c>
      <c r="T198" s="3" t="s">
        <v>36</v>
      </c>
      <c r="U198" s="3" t="s">
        <v>36</v>
      </c>
      <c r="V198" s="3" t="s">
        <v>36</v>
      </c>
      <c r="W198" s="3" t="s">
        <v>36</v>
      </c>
      <c r="X198" s="21" t="s">
        <v>36</v>
      </c>
      <c r="Y198" s="3" t="s">
        <v>36</v>
      </c>
      <c r="Z198" s="3"/>
      <c r="AA198" s="3"/>
      <c r="AB198" s="3"/>
      <c r="AC198" s="3"/>
    </row>
    <row r="199" spans="1:29" x14ac:dyDescent="0.2">
      <c r="A199" t="s">
        <v>475</v>
      </c>
      <c r="B199" t="s">
        <v>476</v>
      </c>
      <c r="C199" t="s">
        <v>383</v>
      </c>
      <c r="D199" t="s">
        <v>32</v>
      </c>
      <c r="E199" t="s">
        <v>33</v>
      </c>
      <c r="F199" s="1" t="s">
        <v>472</v>
      </c>
      <c r="G199" s="1" t="str">
        <f>_xlfn.XLOOKUP(TableFA2132[[#This Row],[Project]],Projects[Project],Projects[Full Name],"")</f>
        <v xml:space="preserve">Damian Figueroa-Gonzalez </v>
      </c>
      <c r="H199" s="1" t="str">
        <f>_xlfn.XLOOKUP(TableFA2132[[#This Row],[Project]],Projects[Project],Projects[Work Email (no gmail/hotmail/etc.)],"")</f>
        <v>dfigu048@fiu.edu</v>
      </c>
      <c r="I199" s="1" t="str">
        <f>_xlfn.XLOOKUP(TableFA2132[[#This Row],[Project]],Projects[Project],Projects[Affiliation (Company/University/Place of Work)],"")</f>
        <v>Florida International University</v>
      </c>
      <c r="J199" s="1" t="str">
        <f>_xlfn.XLOOKUP(TableFA2132[[#This Row],[Project]],Projects[Project],Projects[Job Title],"")</f>
        <v>Capstone 2 Student</v>
      </c>
      <c r="K199" s="10">
        <f>COUNTIFS(TableFA2132[Project],TableFA2132[[#This Row],[Project]],TableFA2132[Program],TableFA2132[[#This Row],[Program]])</f>
        <v>4</v>
      </c>
      <c r="L199" s="10">
        <f>COUNTIFS(TableFA2132[Project],TableFA2132[[#This Row],[Project]])</f>
        <v>4</v>
      </c>
      <c r="P199" t="s">
        <v>36</v>
      </c>
      <c r="Q199" t="s">
        <v>36</v>
      </c>
      <c r="R199" t="s">
        <v>36</v>
      </c>
      <c r="S199" t="s">
        <v>36</v>
      </c>
      <c r="T199" t="s">
        <v>36</v>
      </c>
      <c r="U199" t="s">
        <v>36</v>
      </c>
      <c r="V199" t="s">
        <v>36</v>
      </c>
      <c r="W199" t="s">
        <v>36</v>
      </c>
      <c r="X199" s="5" t="s">
        <v>36</v>
      </c>
      <c r="Y199" t="s">
        <v>36</v>
      </c>
      <c r="Z199"/>
    </row>
    <row r="200" spans="1:29" x14ac:dyDescent="0.2">
      <c r="A200" t="s">
        <v>477</v>
      </c>
      <c r="B200" t="s">
        <v>478</v>
      </c>
      <c r="C200" t="s">
        <v>383</v>
      </c>
      <c r="D200" t="s">
        <v>32</v>
      </c>
      <c r="E200" t="s">
        <v>33</v>
      </c>
      <c r="F200" s="1" t="s">
        <v>472</v>
      </c>
      <c r="G200" s="1" t="str">
        <f>_xlfn.XLOOKUP(TableFA2132[[#This Row],[Project]],Projects[Project],Projects[Full Name],"")</f>
        <v xml:space="preserve">Damian Figueroa-Gonzalez </v>
      </c>
      <c r="H200" s="1" t="str">
        <f>_xlfn.XLOOKUP(TableFA2132[[#This Row],[Project]],Projects[Project],Projects[Work Email (no gmail/hotmail/etc.)],"")</f>
        <v>dfigu048@fiu.edu</v>
      </c>
      <c r="I200" s="1" t="str">
        <f>_xlfn.XLOOKUP(TableFA2132[[#This Row],[Project]],Projects[Project],Projects[Affiliation (Company/University/Place of Work)],"")</f>
        <v>Florida International University</v>
      </c>
      <c r="J200" s="1" t="str">
        <f>_xlfn.XLOOKUP(TableFA2132[[#This Row],[Project]],Projects[Project],Projects[Job Title],"")</f>
        <v>Capstone 2 Student</v>
      </c>
      <c r="K200" s="10">
        <f>COUNTIFS(TableFA2132[Project],TableFA2132[[#This Row],[Project]],TableFA2132[Program],TableFA2132[[#This Row],[Program]])</f>
        <v>4</v>
      </c>
      <c r="L200" s="10">
        <f>COUNTIFS(TableFA2132[Project],TableFA2132[[#This Row],[Project]])</f>
        <v>4</v>
      </c>
      <c r="P200" t="s">
        <v>36</v>
      </c>
      <c r="Q200" t="s">
        <v>36</v>
      </c>
      <c r="R200" t="s">
        <v>36</v>
      </c>
      <c r="S200" t="s">
        <v>36</v>
      </c>
      <c r="T200" t="s">
        <v>36</v>
      </c>
      <c r="U200" t="s">
        <v>36</v>
      </c>
      <c r="V200" t="s">
        <v>36</v>
      </c>
      <c r="W200" t="s">
        <v>36</v>
      </c>
      <c r="X200" s="5" t="s">
        <v>36</v>
      </c>
      <c r="Y200" t="s">
        <v>36</v>
      </c>
      <c r="Z200"/>
    </row>
    <row r="201" spans="1:29" x14ac:dyDescent="0.2">
      <c r="A201" s="3" t="s">
        <v>479</v>
      </c>
      <c r="B201" s="3" t="s">
        <v>480</v>
      </c>
      <c r="C201" s="3" t="s">
        <v>481</v>
      </c>
      <c r="D201" s="3" t="s">
        <v>32</v>
      </c>
      <c r="E201" t="s">
        <v>33</v>
      </c>
      <c r="F201" s="10" t="s">
        <v>244</v>
      </c>
      <c r="G201" s="1" t="str">
        <f>_xlfn.XLOOKUP(TableFA2132[[#This Row],[Project]],Projects[Project],Projects[Full Name],"")</f>
        <v>Ravi Venugopal</v>
      </c>
      <c r="H201" s="1" t="str">
        <f>_xlfn.XLOOKUP(TableFA2132[[#This Row],[Project]],Projects[Project],Projects[Work Email (no gmail/hotmail/etc.)],"")</f>
        <v>ravi@giggso.com</v>
      </c>
      <c r="I201" s="1" t="str">
        <f>_xlfn.XLOOKUP(TableFA2132[[#This Row],[Project]],Projects[Project],Projects[Affiliation (Company/University/Place of Work)],"")</f>
        <v>Giggso</v>
      </c>
      <c r="J201" s="1" t="str">
        <f>_xlfn.XLOOKUP(TableFA2132[[#This Row],[Project]],Projects[Project],Projects[Job Title],"")</f>
        <v>Founder &amp; CEO</v>
      </c>
      <c r="K201" s="10">
        <f>COUNTIFS(TableFA2132[Project],TableFA2132[[#This Row],[Project]],TableFA2132[Program],TableFA2132[[#This Row],[Program]])</f>
        <v>2</v>
      </c>
      <c r="L201" s="10">
        <f>COUNTIFS(TableFA2132[Project],TableFA2132[[#This Row],[Project]])</f>
        <v>5</v>
      </c>
      <c r="M201" s="3" t="s">
        <v>35</v>
      </c>
      <c r="N201" s="3"/>
      <c r="O201" s="3"/>
      <c r="P201" s="3" t="s">
        <v>36</v>
      </c>
      <c r="Q201" s="3" t="s">
        <v>36</v>
      </c>
      <c r="R201" s="3" t="s">
        <v>36</v>
      </c>
      <c r="S201" s="3" t="s">
        <v>36</v>
      </c>
      <c r="T201" s="3" t="s">
        <v>36</v>
      </c>
      <c r="U201" s="3" t="s">
        <v>36</v>
      </c>
      <c r="V201" s="3" t="s">
        <v>36</v>
      </c>
      <c r="W201" s="3" t="s">
        <v>36</v>
      </c>
      <c r="X201" s="21" t="s">
        <v>36</v>
      </c>
      <c r="Y201" s="3" t="s">
        <v>36</v>
      </c>
      <c r="Z201" s="3" t="s">
        <v>36</v>
      </c>
      <c r="AA201" s="3" t="s">
        <v>36</v>
      </c>
      <c r="AB201" s="3" t="s">
        <v>36</v>
      </c>
      <c r="AC201" s="3" t="s">
        <v>36</v>
      </c>
    </row>
    <row r="202" spans="1:29" x14ac:dyDescent="0.2">
      <c r="A202" s="11" t="s">
        <v>482</v>
      </c>
      <c r="B202" t="s">
        <v>483</v>
      </c>
      <c r="C202" t="s">
        <v>481</v>
      </c>
      <c r="D202" t="s">
        <v>32</v>
      </c>
      <c r="E202" t="s">
        <v>33</v>
      </c>
      <c r="F202" s="1" t="s">
        <v>244</v>
      </c>
      <c r="G202" s="1" t="str">
        <f>_xlfn.XLOOKUP(TableFA2132[[#This Row],[Project]],Projects[Project],Projects[Full Name],"")</f>
        <v>Ravi Venugopal</v>
      </c>
      <c r="H202" s="1" t="str">
        <f>_xlfn.XLOOKUP(TableFA2132[[#This Row],[Project]],Projects[Project],Projects[Work Email (no gmail/hotmail/etc.)],"")</f>
        <v>ravi@giggso.com</v>
      </c>
      <c r="I202" s="1" t="str">
        <f>_xlfn.XLOOKUP(TableFA2132[[#This Row],[Project]],Projects[Project],Projects[Affiliation (Company/University/Place of Work)],"")</f>
        <v>Giggso</v>
      </c>
      <c r="J202" s="1" t="str">
        <f>_xlfn.XLOOKUP(TableFA2132[[#This Row],[Project]],Projects[Project],Projects[Job Title],"")</f>
        <v>Founder &amp; CEO</v>
      </c>
      <c r="K202" s="10">
        <f>COUNTIFS(TableFA2132[Project],TableFA2132[[#This Row],[Project]],TableFA2132[Program],TableFA2132[[#This Row],[Program]])</f>
        <v>2</v>
      </c>
      <c r="L202" s="10">
        <f>COUNTIFS(TableFA2132[Project],TableFA2132[[#This Row],[Project]])</f>
        <v>5</v>
      </c>
      <c r="P202" t="s">
        <v>36</v>
      </c>
      <c r="Q202" t="s">
        <v>36</v>
      </c>
      <c r="R202" t="s">
        <v>36</v>
      </c>
      <c r="S202" t="s">
        <v>36</v>
      </c>
      <c r="T202" t="s">
        <v>36</v>
      </c>
      <c r="U202" t="s">
        <v>36</v>
      </c>
      <c r="V202" t="s">
        <v>36</v>
      </c>
      <c r="W202" t="s">
        <v>36</v>
      </c>
      <c r="X202" s="5" t="s">
        <v>36</v>
      </c>
      <c r="Y202" t="s">
        <v>36</v>
      </c>
      <c r="Z202" t="s">
        <v>36</v>
      </c>
      <c r="AA202" t="s">
        <v>36</v>
      </c>
      <c r="AB202" t="s">
        <v>36</v>
      </c>
      <c r="AC202" t="s">
        <v>36</v>
      </c>
    </row>
    <row r="203" spans="1:29" x14ac:dyDescent="0.2">
      <c r="A203" s="3" t="s">
        <v>484</v>
      </c>
      <c r="B203" s="3" t="s">
        <v>485</v>
      </c>
      <c r="C203" s="3" t="s">
        <v>486</v>
      </c>
      <c r="D203" s="3" t="s">
        <v>110</v>
      </c>
      <c r="E203" t="s">
        <v>33</v>
      </c>
      <c r="F203" s="10" t="s">
        <v>487</v>
      </c>
      <c r="G203" s="1" t="str">
        <f>_xlfn.XLOOKUP(TableFA2132[[#This Row],[Project]],Projects[Project],Projects[Full Name],"")</f>
        <v>Daniella Funtes</v>
      </c>
      <c r="H203" s="1" t="str">
        <f>_xlfn.XLOOKUP(TableFA2132[[#This Row],[Project]],Projects[Project],Projects[Work Email (no gmail/hotmail/etc.)],"")</f>
        <v>Dfuen050@fiu.edu</v>
      </c>
      <c r="I203" s="1" t="str">
        <f>_xlfn.XLOOKUP(TableFA2132[[#This Row],[Project]],Projects[Project],Projects[Affiliation (Company/University/Place of Work)],"")</f>
        <v>Florida International University</v>
      </c>
      <c r="J203" s="1" t="str">
        <f>_xlfn.XLOOKUP(TableFA2132[[#This Row],[Project]],Projects[Project],Projects[Job Title],"")</f>
        <v>Capstone 2 Student</v>
      </c>
      <c r="K203" s="10">
        <f>COUNTIFS(TableFA2132[Project],TableFA2132[[#This Row],[Project]],TableFA2132[Program],TableFA2132[[#This Row],[Program]])</f>
        <v>3</v>
      </c>
      <c r="L203" s="10">
        <f>COUNTIFS(TableFA2132[Project],TableFA2132[[#This Row],[Project]])</f>
        <v>3</v>
      </c>
      <c r="M203" s="3" t="s">
        <v>35</v>
      </c>
      <c r="N203" s="3"/>
      <c r="O203" s="3"/>
      <c r="P203" s="3" t="s">
        <v>36</v>
      </c>
      <c r="Q203" s="3" t="s">
        <v>36</v>
      </c>
      <c r="R203" s="3" t="s">
        <v>36</v>
      </c>
      <c r="S203" s="3" t="s">
        <v>36</v>
      </c>
      <c r="T203" s="3" t="s">
        <v>36</v>
      </c>
      <c r="U203" s="3" t="s">
        <v>36</v>
      </c>
      <c r="V203" s="3" t="s">
        <v>36</v>
      </c>
      <c r="W203" s="3" t="s">
        <v>36</v>
      </c>
      <c r="X203" s="21" t="s">
        <v>36</v>
      </c>
      <c r="Y203" s="3" t="s">
        <v>36</v>
      </c>
      <c r="Z203" s="3" t="s">
        <v>36</v>
      </c>
      <c r="AA203" s="3" t="s">
        <v>36</v>
      </c>
      <c r="AB203" s="3" t="s">
        <v>36</v>
      </c>
      <c r="AC203" s="3" t="s">
        <v>36</v>
      </c>
    </row>
    <row r="204" spans="1:29" x14ac:dyDescent="0.2">
      <c r="A204" t="s">
        <v>488</v>
      </c>
      <c r="B204" t="s">
        <v>489</v>
      </c>
      <c r="C204" t="s">
        <v>486</v>
      </c>
      <c r="D204" t="s">
        <v>110</v>
      </c>
      <c r="E204" t="s">
        <v>33</v>
      </c>
      <c r="F204" s="1" t="s">
        <v>487</v>
      </c>
      <c r="G204" s="1" t="str">
        <f>_xlfn.XLOOKUP(TableFA2132[[#This Row],[Project]],Projects[Project],Projects[Full Name],"")</f>
        <v>Daniella Funtes</v>
      </c>
      <c r="H204" s="1" t="str">
        <f>_xlfn.XLOOKUP(TableFA2132[[#This Row],[Project]],Projects[Project],Projects[Work Email (no gmail/hotmail/etc.)],"")</f>
        <v>Dfuen050@fiu.edu</v>
      </c>
      <c r="I204" s="1" t="str">
        <f>_xlfn.XLOOKUP(TableFA2132[[#This Row],[Project]],Projects[Project],Projects[Affiliation (Company/University/Place of Work)],"")</f>
        <v>Florida International University</v>
      </c>
      <c r="J204" s="1" t="str">
        <f>_xlfn.XLOOKUP(TableFA2132[[#This Row],[Project]],Projects[Project],Projects[Job Title],"")</f>
        <v>Capstone 2 Student</v>
      </c>
      <c r="K204" s="10">
        <f>COUNTIFS(TableFA2132[Project],TableFA2132[[#This Row],[Project]],TableFA2132[Program],TableFA2132[[#This Row],[Program]])</f>
        <v>3</v>
      </c>
      <c r="L204" s="10">
        <f>COUNTIFS(TableFA2132[Project],TableFA2132[[#This Row],[Project]])</f>
        <v>3</v>
      </c>
      <c r="P204" t="s">
        <v>36</v>
      </c>
      <c r="Q204" t="s">
        <v>36</v>
      </c>
      <c r="R204" t="s">
        <v>36</v>
      </c>
      <c r="S204" t="s">
        <v>36</v>
      </c>
      <c r="T204" t="s">
        <v>36</v>
      </c>
      <c r="U204" t="s">
        <v>36</v>
      </c>
      <c r="V204" t="s">
        <v>36</v>
      </c>
      <c r="W204" t="s">
        <v>36</v>
      </c>
      <c r="X204" s="5" t="s">
        <v>36</v>
      </c>
      <c r="Y204" t="s">
        <v>36</v>
      </c>
      <c r="Z204" t="s">
        <v>36</v>
      </c>
      <c r="AA204" t="s">
        <v>36</v>
      </c>
      <c r="AB204" t="s">
        <v>36</v>
      </c>
      <c r="AC204" t="s">
        <v>36</v>
      </c>
    </row>
    <row r="205" spans="1:29" x14ac:dyDescent="0.2">
      <c r="A205" t="s">
        <v>490</v>
      </c>
      <c r="B205" t="s">
        <v>491</v>
      </c>
      <c r="C205" t="s">
        <v>486</v>
      </c>
      <c r="D205" t="s">
        <v>110</v>
      </c>
      <c r="E205" t="s">
        <v>33</v>
      </c>
      <c r="F205" s="1" t="s">
        <v>487</v>
      </c>
      <c r="G205" s="1" t="str">
        <f>_xlfn.XLOOKUP(TableFA2132[[#This Row],[Project]],Projects[Project],Projects[Full Name],"")</f>
        <v>Daniella Funtes</v>
      </c>
      <c r="H205" s="1" t="str">
        <f>_xlfn.XLOOKUP(TableFA2132[[#This Row],[Project]],Projects[Project],Projects[Work Email (no gmail/hotmail/etc.)],"")</f>
        <v>Dfuen050@fiu.edu</v>
      </c>
      <c r="I205" s="1" t="str">
        <f>_xlfn.XLOOKUP(TableFA2132[[#This Row],[Project]],Projects[Project],Projects[Affiliation (Company/University/Place of Work)],"")</f>
        <v>Florida International University</v>
      </c>
      <c r="J205" s="1" t="str">
        <f>_xlfn.XLOOKUP(TableFA2132[[#This Row],[Project]],Projects[Project],Projects[Job Title],"")</f>
        <v>Capstone 2 Student</v>
      </c>
      <c r="K205" s="10">
        <f>COUNTIFS(TableFA2132[Project],TableFA2132[[#This Row],[Project]],TableFA2132[Program],TableFA2132[[#This Row],[Program]])</f>
        <v>3</v>
      </c>
      <c r="L205" s="10">
        <f>COUNTIFS(TableFA2132[Project],TableFA2132[[#This Row],[Project]])</f>
        <v>3</v>
      </c>
      <c r="P205" t="s">
        <v>36</v>
      </c>
      <c r="Q205" t="s">
        <v>36</v>
      </c>
      <c r="R205" t="s">
        <v>36</v>
      </c>
      <c r="S205" t="s">
        <v>36</v>
      </c>
      <c r="T205" t="s">
        <v>36</v>
      </c>
      <c r="U205" t="s">
        <v>36</v>
      </c>
      <c r="V205" t="s">
        <v>36</v>
      </c>
      <c r="W205" t="s">
        <v>36</v>
      </c>
      <c r="X205" s="5" t="s">
        <v>36</v>
      </c>
      <c r="Y205" t="s">
        <v>36</v>
      </c>
      <c r="Z205" t="s">
        <v>36</v>
      </c>
      <c r="AA205" t="s">
        <v>36</v>
      </c>
      <c r="AB205" t="s">
        <v>36</v>
      </c>
      <c r="AC205" t="s">
        <v>36</v>
      </c>
    </row>
    <row r="206" spans="1:29" x14ac:dyDescent="0.2">
      <c r="A206" s="3" t="s">
        <v>492</v>
      </c>
      <c r="B206" s="22" t="s">
        <v>493</v>
      </c>
      <c r="C206" s="22" t="s">
        <v>486</v>
      </c>
      <c r="D206" s="3" t="s">
        <v>32</v>
      </c>
      <c r="E206" s="3" t="s">
        <v>33</v>
      </c>
      <c r="F206" s="19" t="s">
        <v>494</v>
      </c>
      <c r="G206" s="10" t="str">
        <f>_xlfn.XLOOKUP(TableFA2132[[#This Row],[Project]],Projects[Project],Projects[Full Name],"")</f>
        <v>Cesar Pereyra</v>
      </c>
      <c r="H206" s="10" t="str">
        <f>_xlfn.XLOOKUP(TableFA2132[[#This Row],[Project]],Projects[Project],Projects[Work Email (no gmail/hotmail/etc.)],"")</f>
        <v>cpere684@fiu.edu</v>
      </c>
      <c r="I206" s="10" t="str">
        <f>_xlfn.XLOOKUP(TableFA2132[[#This Row],[Project]],Projects[Project],Projects[Affiliation (Company/University/Place of Work)],"")</f>
        <v>Florida International University</v>
      </c>
      <c r="J206" s="10" t="str">
        <f>_xlfn.XLOOKUP(TableFA2132[[#This Row],[Project]],Projects[Project],Projects[Job Title],"")</f>
        <v>Capstone 2 Student</v>
      </c>
      <c r="K206" s="10">
        <f>COUNTIFS(TableFA2132[Project],TableFA2132[[#This Row],[Project]],TableFA2132[Program],TableFA2132[[#This Row],[Program]])</f>
        <v>5</v>
      </c>
      <c r="L206" s="10">
        <f>COUNTIFS(TableFA2132[Project],TableFA2132[[#This Row],[Project]])</f>
        <v>5</v>
      </c>
      <c r="M206" s="22" t="s">
        <v>35</v>
      </c>
      <c r="N206" s="3"/>
      <c r="O206" s="3"/>
      <c r="P206" s="3" t="s">
        <v>36</v>
      </c>
      <c r="Q206" s="3" t="s">
        <v>36</v>
      </c>
      <c r="R206" s="3" t="s">
        <v>36</v>
      </c>
      <c r="S206" s="3" t="s">
        <v>36</v>
      </c>
      <c r="T206" s="3" t="s">
        <v>36</v>
      </c>
      <c r="U206" s="3" t="s">
        <v>36</v>
      </c>
      <c r="V206" s="3" t="s">
        <v>36</v>
      </c>
      <c r="W206" s="3" t="s">
        <v>36</v>
      </c>
      <c r="X206" s="21" t="s">
        <v>36</v>
      </c>
      <c r="Y206" s="3" t="s">
        <v>36</v>
      </c>
      <c r="Z206" s="3" t="s">
        <v>36</v>
      </c>
      <c r="AA206" s="3" t="s">
        <v>36</v>
      </c>
      <c r="AB206" s="3" t="s">
        <v>36</v>
      </c>
      <c r="AC206" s="3"/>
    </row>
    <row r="207" spans="1:29" x14ac:dyDescent="0.2">
      <c r="A207" t="s">
        <v>495</v>
      </c>
      <c r="B207" s="1" t="s">
        <v>496</v>
      </c>
      <c r="C207" t="s">
        <v>486</v>
      </c>
      <c r="D207" t="s">
        <v>32</v>
      </c>
      <c r="E207" t="s">
        <v>33</v>
      </c>
      <c r="F207" s="1" t="s">
        <v>494</v>
      </c>
      <c r="G207" s="1" t="str">
        <f>_xlfn.XLOOKUP(TableFA2132[[#This Row],[Project]],Projects[Project],Projects[Full Name],"")</f>
        <v>Cesar Pereyra</v>
      </c>
      <c r="H207" s="1" t="str">
        <f>_xlfn.XLOOKUP(TableFA2132[[#This Row],[Project]],Projects[Project],Projects[Work Email (no gmail/hotmail/etc.)],"")</f>
        <v>cpere684@fiu.edu</v>
      </c>
      <c r="I207" s="1" t="str">
        <f>_xlfn.XLOOKUP(TableFA2132[[#This Row],[Project]],Projects[Project],Projects[Affiliation (Company/University/Place of Work)],"")</f>
        <v>Florida International University</v>
      </c>
      <c r="J207" s="1" t="str">
        <f>_xlfn.XLOOKUP(TableFA2132[[#This Row],[Project]],Projects[Project],Projects[Job Title],"")</f>
        <v>Capstone 2 Student</v>
      </c>
      <c r="K207" s="10">
        <f>COUNTIFS(TableFA2132[Project],TableFA2132[[#This Row],[Project]],TableFA2132[Program],TableFA2132[[#This Row],[Program]])</f>
        <v>5</v>
      </c>
      <c r="L207" s="10">
        <f>COUNTIFS(TableFA2132[Project],TableFA2132[[#This Row],[Project]])</f>
        <v>5</v>
      </c>
      <c r="P207" t="s">
        <v>36</v>
      </c>
      <c r="Q207" t="s">
        <v>36</v>
      </c>
      <c r="R207" t="s">
        <v>36</v>
      </c>
      <c r="S207" t="s">
        <v>36</v>
      </c>
      <c r="T207" t="s">
        <v>36</v>
      </c>
      <c r="U207" t="s">
        <v>36</v>
      </c>
      <c r="V207" t="s">
        <v>36</v>
      </c>
      <c r="W207" t="s">
        <v>36</v>
      </c>
      <c r="X207" s="5" t="s">
        <v>36</v>
      </c>
      <c r="Y207" t="s">
        <v>36</v>
      </c>
      <c r="Z207" t="s">
        <v>36</v>
      </c>
      <c r="AA207" t="s">
        <v>36</v>
      </c>
      <c r="AB207" t="s">
        <v>36</v>
      </c>
    </row>
    <row r="208" spans="1:29" x14ac:dyDescent="0.2">
      <c r="A208" t="s">
        <v>497</v>
      </c>
      <c r="B208" t="s">
        <v>498</v>
      </c>
      <c r="C208" t="s">
        <v>486</v>
      </c>
      <c r="D208" t="s">
        <v>32</v>
      </c>
      <c r="E208" t="s">
        <v>33</v>
      </c>
      <c r="F208" s="1" t="s">
        <v>494</v>
      </c>
      <c r="G208" s="1" t="str">
        <f>_xlfn.XLOOKUP(TableFA2132[[#This Row],[Project]],Projects[Project],Projects[Full Name],"")</f>
        <v>Cesar Pereyra</v>
      </c>
      <c r="H208" s="1" t="str">
        <f>_xlfn.XLOOKUP(TableFA2132[[#This Row],[Project]],Projects[Project],Projects[Work Email (no gmail/hotmail/etc.)],"")</f>
        <v>cpere684@fiu.edu</v>
      </c>
      <c r="I208" s="1" t="str">
        <f>_xlfn.XLOOKUP(TableFA2132[[#This Row],[Project]],Projects[Project],Projects[Affiliation (Company/University/Place of Work)],"")</f>
        <v>Florida International University</v>
      </c>
      <c r="J208" s="1" t="str">
        <f>_xlfn.XLOOKUP(TableFA2132[[#This Row],[Project]],Projects[Project],Projects[Job Title],"")</f>
        <v>Capstone 2 Student</v>
      </c>
      <c r="K208" s="10">
        <f>COUNTIFS(TableFA2132[Project],TableFA2132[[#This Row],[Project]],TableFA2132[Program],TableFA2132[[#This Row],[Program]])</f>
        <v>5</v>
      </c>
      <c r="L208" s="10">
        <f>COUNTIFS(TableFA2132[Project],TableFA2132[[#This Row],[Project]])</f>
        <v>5</v>
      </c>
      <c r="P208" t="s">
        <v>36</v>
      </c>
      <c r="Q208" t="s">
        <v>36</v>
      </c>
      <c r="R208" t="s">
        <v>36</v>
      </c>
      <c r="S208" t="s">
        <v>36</v>
      </c>
      <c r="T208" t="s">
        <v>36</v>
      </c>
      <c r="U208" t="s">
        <v>36</v>
      </c>
      <c r="V208" t="s">
        <v>36</v>
      </c>
      <c r="W208" t="s">
        <v>36</v>
      </c>
      <c r="X208" s="5" t="s">
        <v>36</v>
      </c>
      <c r="Y208" t="s">
        <v>36</v>
      </c>
      <c r="Z208" t="s">
        <v>36</v>
      </c>
      <c r="AA208" t="s">
        <v>36</v>
      </c>
      <c r="AB208" t="s">
        <v>36</v>
      </c>
    </row>
    <row r="209" spans="1:30" x14ac:dyDescent="0.2">
      <c r="A209" t="s">
        <v>499</v>
      </c>
      <c r="B209" t="s">
        <v>500</v>
      </c>
      <c r="C209" t="s">
        <v>486</v>
      </c>
      <c r="D209" t="s">
        <v>32</v>
      </c>
      <c r="E209" t="s">
        <v>33</v>
      </c>
      <c r="F209" s="1" t="s">
        <v>494</v>
      </c>
      <c r="G209" s="1" t="str">
        <f>_xlfn.XLOOKUP(TableFA2132[[#This Row],[Project]],Projects[Project],Projects[Full Name],"")</f>
        <v>Cesar Pereyra</v>
      </c>
      <c r="H209" s="1" t="str">
        <f>_xlfn.XLOOKUP(TableFA2132[[#This Row],[Project]],Projects[Project],Projects[Work Email (no gmail/hotmail/etc.)],"")</f>
        <v>cpere684@fiu.edu</v>
      </c>
      <c r="I209" s="1" t="str">
        <f>_xlfn.XLOOKUP(TableFA2132[[#This Row],[Project]],Projects[Project],Projects[Affiliation (Company/University/Place of Work)],"")</f>
        <v>Florida International University</v>
      </c>
      <c r="J209" s="1" t="str">
        <f>_xlfn.XLOOKUP(TableFA2132[[#This Row],[Project]],Projects[Project],Projects[Job Title],"")</f>
        <v>Capstone 2 Student</v>
      </c>
      <c r="K209" s="10">
        <f>COUNTIFS(TableFA2132[Project],TableFA2132[[#This Row],[Project]],TableFA2132[Program],TableFA2132[[#This Row],[Program]])</f>
        <v>5</v>
      </c>
      <c r="L209" s="10">
        <f>COUNTIFS(TableFA2132[Project],TableFA2132[[#This Row],[Project]])</f>
        <v>5</v>
      </c>
      <c r="P209" t="s">
        <v>36</v>
      </c>
      <c r="Q209" t="s">
        <v>36</v>
      </c>
      <c r="R209" t="s">
        <v>36</v>
      </c>
      <c r="S209" t="s">
        <v>36</v>
      </c>
      <c r="T209" t="s">
        <v>36</v>
      </c>
      <c r="U209" t="s">
        <v>36</v>
      </c>
      <c r="V209" t="s">
        <v>36</v>
      </c>
      <c r="W209" t="s">
        <v>36</v>
      </c>
      <c r="X209" s="5" t="s">
        <v>36</v>
      </c>
      <c r="Y209" t="s">
        <v>36</v>
      </c>
      <c r="Z209" t="s">
        <v>36</v>
      </c>
      <c r="AA209" t="s">
        <v>36</v>
      </c>
      <c r="AB209" t="s">
        <v>36</v>
      </c>
    </row>
    <row r="210" spans="1:30" x14ac:dyDescent="0.2">
      <c r="A210" t="s">
        <v>501</v>
      </c>
      <c r="B210" t="s">
        <v>502</v>
      </c>
      <c r="C210" t="s">
        <v>486</v>
      </c>
      <c r="D210" t="s">
        <v>32</v>
      </c>
      <c r="E210" t="s">
        <v>33</v>
      </c>
      <c r="F210" s="1" t="s">
        <v>494</v>
      </c>
      <c r="G210" s="1" t="str">
        <f>_xlfn.XLOOKUP(TableFA2132[[#This Row],[Project]],Projects[Project],Projects[Full Name],"")</f>
        <v>Cesar Pereyra</v>
      </c>
      <c r="H210" s="1" t="str">
        <f>_xlfn.XLOOKUP(TableFA2132[[#This Row],[Project]],Projects[Project],Projects[Work Email (no gmail/hotmail/etc.)],"")</f>
        <v>cpere684@fiu.edu</v>
      </c>
      <c r="I210" s="1" t="str">
        <f>_xlfn.XLOOKUP(TableFA2132[[#This Row],[Project]],Projects[Project],Projects[Affiliation (Company/University/Place of Work)],"")</f>
        <v>Florida International University</v>
      </c>
      <c r="J210" s="1" t="str">
        <f>_xlfn.XLOOKUP(TableFA2132[[#This Row],[Project]],Projects[Project],Projects[Job Title],"")</f>
        <v>Capstone 2 Student</v>
      </c>
      <c r="K210" s="10">
        <f>COUNTIFS(TableFA2132[Project],TableFA2132[[#This Row],[Project]],TableFA2132[Program],TableFA2132[[#This Row],[Program]])</f>
        <v>5</v>
      </c>
      <c r="L210" s="10">
        <f>COUNTIFS(TableFA2132[Project],TableFA2132[[#This Row],[Project]])</f>
        <v>5</v>
      </c>
      <c r="P210" t="s">
        <v>36</v>
      </c>
      <c r="Q210" t="s">
        <v>36</v>
      </c>
      <c r="R210" t="s">
        <v>36</v>
      </c>
      <c r="S210" t="s">
        <v>36</v>
      </c>
      <c r="T210" t="s">
        <v>36</v>
      </c>
      <c r="U210" t="s">
        <v>36</v>
      </c>
      <c r="V210" t="s">
        <v>36</v>
      </c>
      <c r="W210" t="s">
        <v>36</v>
      </c>
      <c r="X210" s="5" t="s">
        <v>36</v>
      </c>
      <c r="Y210" t="s">
        <v>36</v>
      </c>
      <c r="Z210" t="s">
        <v>36</v>
      </c>
      <c r="AA210" t="s">
        <v>36</v>
      </c>
      <c r="AB210" t="s">
        <v>36</v>
      </c>
    </row>
    <row r="211" spans="1:30" x14ac:dyDescent="0.2">
      <c r="A211" s="11" t="s">
        <v>503</v>
      </c>
      <c r="B211" s="3" t="s">
        <v>504</v>
      </c>
      <c r="C211" s="3" t="s">
        <v>486</v>
      </c>
      <c r="D211" s="3" t="s">
        <v>110</v>
      </c>
      <c r="E211" t="s">
        <v>33</v>
      </c>
      <c r="F211" s="10" t="s">
        <v>505</v>
      </c>
      <c r="G211" s="1" t="str">
        <f>_xlfn.XLOOKUP(TableFA2132[[#This Row],[Project]],Projects[Project],Projects[Full Name],"")</f>
        <v>Giovanna Curry</v>
      </c>
      <c r="H211" s="1" t="str">
        <f>_xlfn.XLOOKUP(TableFA2132[[#This Row],[Project]],Projects[Project],Projects[Work Email (no gmail/hotmail/etc.)],"")</f>
        <v>gcurr011@fiu.edu</v>
      </c>
      <c r="I211" s="1" t="str">
        <f>_xlfn.XLOOKUP(TableFA2132[[#This Row],[Project]],Projects[Project],Projects[Affiliation (Company/University/Place of Work)],"")</f>
        <v>Florida International University</v>
      </c>
      <c r="J211" s="1" t="str">
        <f>_xlfn.XLOOKUP(TableFA2132[[#This Row],[Project]],Projects[Project],Projects[Job Title],"")</f>
        <v>Capstone 2 Student</v>
      </c>
      <c r="K211" s="10">
        <f>COUNTIFS(TableFA2132[Project],TableFA2132[[#This Row],[Project]],TableFA2132[Program],TableFA2132[[#This Row],[Program]])</f>
        <v>5</v>
      </c>
      <c r="L211" s="10">
        <f>COUNTIFS(TableFA2132[Project],TableFA2132[[#This Row],[Project]])</f>
        <v>5</v>
      </c>
      <c r="M211" s="3" t="s">
        <v>35</v>
      </c>
      <c r="P211" t="s">
        <v>36</v>
      </c>
      <c r="Q211" t="s">
        <v>36</v>
      </c>
      <c r="R211" t="s">
        <v>36</v>
      </c>
      <c r="S211" t="s">
        <v>36</v>
      </c>
      <c r="T211" t="s">
        <v>36</v>
      </c>
      <c r="U211" t="s">
        <v>36</v>
      </c>
      <c r="V211" t="s">
        <v>36</v>
      </c>
      <c r="W211" t="s">
        <v>36</v>
      </c>
      <c r="X211" s="5" t="s">
        <v>36</v>
      </c>
      <c r="Y211" t="s">
        <v>36</v>
      </c>
      <c r="Z211" t="s">
        <v>36</v>
      </c>
      <c r="AA211" t="s">
        <v>36</v>
      </c>
      <c r="AB211" t="s">
        <v>36</v>
      </c>
    </row>
    <row r="212" spans="1:30" x14ac:dyDescent="0.2">
      <c r="A212" s="11" t="s">
        <v>506</v>
      </c>
      <c r="B212" t="s">
        <v>507</v>
      </c>
      <c r="C212" t="s">
        <v>486</v>
      </c>
      <c r="D212" t="s">
        <v>32</v>
      </c>
      <c r="E212" t="s">
        <v>33</v>
      </c>
      <c r="F212" s="1" t="s">
        <v>505</v>
      </c>
      <c r="G212" s="1" t="str">
        <f>_xlfn.XLOOKUP(TableFA2132[[#This Row],[Project]],Projects[Project],Projects[Full Name],"")</f>
        <v>Giovanna Curry</v>
      </c>
      <c r="H212" s="1" t="str">
        <f>_xlfn.XLOOKUP(TableFA2132[[#This Row],[Project]],Projects[Project],Projects[Work Email (no gmail/hotmail/etc.)],"")</f>
        <v>gcurr011@fiu.edu</v>
      </c>
      <c r="I212" s="1" t="str">
        <f>_xlfn.XLOOKUP(TableFA2132[[#This Row],[Project]],Projects[Project],Projects[Affiliation (Company/University/Place of Work)],"")</f>
        <v>Florida International University</v>
      </c>
      <c r="J212" s="1" t="str">
        <f>_xlfn.XLOOKUP(TableFA2132[[#This Row],[Project]],Projects[Project],Projects[Job Title],"")</f>
        <v>Capstone 2 Student</v>
      </c>
      <c r="K212" s="10">
        <f>COUNTIFS(TableFA2132[Project],TableFA2132[[#This Row],[Project]],TableFA2132[Program],TableFA2132[[#This Row],[Program]])</f>
        <v>5</v>
      </c>
      <c r="L212" s="10">
        <f>COUNTIFS(TableFA2132[Project],TableFA2132[[#This Row],[Project]])</f>
        <v>5</v>
      </c>
      <c r="P212" t="s">
        <v>36</v>
      </c>
      <c r="Q212" t="s">
        <v>36</v>
      </c>
      <c r="R212" t="s">
        <v>36</v>
      </c>
      <c r="S212" t="s">
        <v>36</v>
      </c>
      <c r="T212" t="s">
        <v>36</v>
      </c>
      <c r="U212" t="s">
        <v>36</v>
      </c>
      <c r="V212" t="s">
        <v>36</v>
      </c>
      <c r="W212" t="s">
        <v>36</v>
      </c>
      <c r="X212" s="5" t="s">
        <v>36</v>
      </c>
      <c r="Y212" t="s">
        <v>36</v>
      </c>
      <c r="Z212" t="s">
        <v>36</v>
      </c>
      <c r="AA212" t="s">
        <v>36</v>
      </c>
      <c r="AB212" t="s">
        <v>36</v>
      </c>
    </row>
    <row r="213" spans="1:30" x14ac:dyDescent="0.2">
      <c r="A213" s="11" t="s">
        <v>508</v>
      </c>
      <c r="B213" t="s">
        <v>509</v>
      </c>
      <c r="C213" t="s">
        <v>486</v>
      </c>
      <c r="D213" t="s">
        <v>32</v>
      </c>
      <c r="E213" t="s">
        <v>33</v>
      </c>
      <c r="F213" s="1" t="s">
        <v>505</v>
      </c>
      <c r="G213" s="1" t="str">
        <f>_xlfn.XLOOKUP(TableFA2132[[#This Row],[Project]],Projects[Project],Projects[Full Name],"")</f>
        <v>Giovanna Curry</v>
      </c>
      <c r="H213" s="14" t="s">
        <v>510</v>
      </c>
      <c r="I213" s="1" t="str">
        <f>_xlfn.XLOOKUP(TableFA2132[[#This Row],[Project]],Projects[Project],Projects[Affiliation (Company/University/Place of Work)],"")</f>
        <v>Florida International University</v>
      </c>
      <c r="J213" s="1" t="str">
        <f>_xlfn.XLOOKUP(TableFA2132[[#This Row],[Project]],Projects[Project],Projects[Job Title],"")</f>
        <v>Capstone 2 Student</v>
      </c>
      <c r="K213" s="10">
        <f>COUNTIFS(TableFA2132[Project],TableFA2132[[#This Row],[Project]],TableFA2132[Program],TableFA2132[[#This Row],[Program]])</f>
        <v>5</v>
      </c>
      <c r="L213" s="10">
        <f>COUNTIFS(TableFA2132[Project],TableFA2132[[#This Row],[Project]])</f>
        <v>5</v>
      </c>
      <c r="P213" t="s">
        <v>36</v>
      </c>
      <c r="Q213" t="s">
        <v>36</v>
      </c>
      <c r="R213" t="s">
        <v>36</v>
      </c>
      <c r="S213" t="s">
        <v>36</v>
      </c>
      <c r="T213" t="s">
        <v>36</v>
      </c>
      <c r="U213" t="s">
        <v>36</v>
      </c>
      <c r="V213" t="s">
        <v>36</v>
      </c>
      <c r="W213" t="s">
        <v>36</v>
      </c>
      <c r="X213" s="5" t="s">
        <v>36</v>
      </c>
      <c r="Y213" t="s">
        <v>36</v>
      </c>
      <c r="Z213" t="s">
        <v>36</v>
      </c>
      <c r="AA213" t="s">
        <v>36</v>
      </c>
      <c r="AB213" t="s">
        <v>36</v>
      </c>
    </row>
    <row r="214" spans="1:30" x14ac:dyDescent="0.2">
      <c r="A214" s="11" t="s">
        <v>511</v>
      </c>
      <c r="B214" t="s">
        <v>512</v>
      </c>
      <c r="C214" t="s">
        <v>486</v>
      </c>
      <c r="D214" t="s">
        <v>32</v>
      </c>
      <c r="E214" t="s">
        <v>33</v>
      </c>
      <c r="F214" s="1" t="s">
        <v>505</v>
      </c>
      <c r="G214" s="1" t="str">
        <f>_xlfn.XLOOKUP(TableFA2132[[#This Row],[Project]],Projects[Project],Projects[Full Name],"")</f>
        <v>Giovanna Curry</v>
      </c>
      <c r="H214" s="1" t="str">
        <f>_xlfn.XLOOKUP(TableFA2132[[#This Row],[Project]],Projects[Project],Projects[Work Email (no gmail/hotmail/etc.)],"")</f>
        <v>gcurr011@fiu.edu</v>
      </c>
      <c r="I214" s="1" t="str">
        <f>_xlfn.XLOOKUP(TableFA2132[[#This Row],[Project]],Projects[Project],Projects[Affiliation (Company/University/Place of Work)],"")</f>
        <v>Florida International University</v>
      </c>
      <c r="J214" s="1" t="str">
        <f>_xlfn.XLOOKUP(TableFA2132[[#This Row],[Project]],Projects[Project],Projects[Job Title],"")</f>
        <v>Capstone 2 Student</v>
      </c>
      <c r="K214" s="10">
        <f>COUNTIFS(TableFA2132[Project],TableFA2132[[#This Row],[Project]],TableFA2132[Program],TableFA2132[[#This Row],[Program]])</f>
        <v>5</v>
      </c>
      <c r="L214" s="10">
        <f>COUNTIFS(TableFA2132[Project],TableFA2132[[#This Row],[Project]])</f>
        <v>5</v>
      </c>
      <c r="P214" t="s">
        <v>36</v>
      </c>
      <c r="Q214" t="s">
        <v>36</v>
      </c>
      <c r="R214" t="s">
        <v>36</v>
      </c>
      <c r="S214" t="s">
        <v>36</v>
      </c>
      <c r="T214" t="s">
        <v>36</v>
      </c>
      <c r="U214" t="s">
        <v>36</v>
      </c>
      <c r="V214" t="s">
        <v>36</v>
      </c>
      <c r="W214" t="s">
        <v>36</v>
      </c>
      <c r="X214" s="5" t="s">
        <v>36</v>
      </c>
      <c r="Y214" t="s">
        <v>36</v>
      </c>
      <c r="Z214" t="s">
        <v>36</v>
      </c>
      <c r="AA214" t="s">
        <v>36</v>
      </c>
      <c r="AB214" t="s">
        <v>163</v>
      </c>
    </row>
    <row r="215" spans="1:30" x14ac:dyDescent="0.2">
      <c r="A215" t="s">
        <v>513</v>
      </c>
      <c r="B215" t="s">
        <v>514</v>
      </c>
      <c r="C215" t="s">
        <v>486</v>
      </c>
      <c r="D215" t="s">
        <v>32</v>
      </c>
      <c r="E215" t="s">
        <v>33</v>
      </c>
      <c r="F215" s="1" t="s">
        <v>505</v>
      </c>
      <c r="G215" s="1" t="str">
        <f>_xlfn.XLOOKUP(TableFA2132[[#This Row],[Project]],Projects[Project],Projects[Full Name],"")</f>
        <v>Giovanna Curry</v>
      </c>
      <c r="H215" s="1" t="str">
        <f>_xlfn.XLOOKUP(TableFA2132[[#This Row],[Project]],Projects[Project],Projects[Work Email (no gmail/hotmail/etc.)],"")</f>
        <v>gcurr011@fiu.edu</v>
      </c>
      <c r="I215" s="1" t="str">
        <f>_xlfn.XLOOKUP(TableFA2132[[#This Row],[Project]],Projects[Project],Projects[Affiliation (Company/University/Place of Work)],"")</f>
        <v>Florida International University</v>
      </c>
      <c r="J215" s="1" t="str">
        <f>_xlfn.XLOOKUP(TableFA2132[[#This Row],[Project]],Projects[Project],Projects[Job Title],"")</f>
        <v>Capstone 2 Student</v>
      </c>
      <c r="K215" s="10">
        <f>COUNTIFS(TableFA2132[Project],TableFA2132[[#This Row],[Project]],TableFA2132[Program],TableFA2132[[#This Row],[Program]])</f>
        <v>5</v>
      </c>
      <c r="L215" s="10">
        <f>COUNTIFS(TableFA2132[Project],TableFA2132[[#This Row],[Project]])</f>
        <v>5</v>
      </c>
      <c r="P215" t="s">
        <v>36</v>
      </c>
      <c r="Q215" t="s">
        <v>36</v>
      </c>
      <c r="R215" t="s">
        <v>36</v>
      </c>
      <c r="S215" t="s">
        <v>36</v>
      </c>
      <c r="T215" t="s">
        <v>36</v>
      </c>
      <c r="U215" t="s">
        <v>36</v>
      </c>
      <c r="V215" t="s">
        <v>36</v>
      </c>
      <c r="W215" t="s">
        <v>36</v>
      </c>
      <c r="X215" s="5" t="s">
        <v>36</v>
      </c>
      <c r="Y215" t="s">
        <v>36</v>
      </c>
      <c r="Z215" t="s">
        <v>36</v>
      </c>
      <c r="AA215" t="s">
        <v>36</v>
      </c>
      <c r="AB215" t="s">
        <v>36</v>
      </c>
    </row>
    <row r="216" spans="1:30" x14ac:dyDescent="0.2">
      <c r="A216" s="3" t="s">
        <v>515</v>
      </c>
      <c r="B216" s="3" t="s">
        <v>516</v>
      </c>
      <c r="C216" s="3" t="s">
        <v>486</v>
      </c>
      <c r="D216" s="3" t="s">
        <v>110</v>
      </c>
      <c r="E216" t="s">
        <v>33</v>
      </c>
      <c r="F216" s="10" t="s">
        <v>517</v>
      </c>
      <c r="G216" s="10" t="str">
        <f>_xlfn.XLOOKUP(TableFA2132[[#This Row],[Project]],Projects[Project],Projects[Full Name],"")</f>
        <v>Joseph McNulty-Lamparter</v>
      </c>
      <c r="H216" s="10" t="str">
        <f>_xlfn.XLOOKUP(TableFA2132[[#This Row],[Project]],Projects[Project],Projects[Work Email (no gmail/hotmail/etc.)],"")</f>
        <v>jmcnu007@fiu.edu</v>
      </c>
      <c r="I216" s="10" t="str">
        <f>_xlfn.XLOOKUP(TableFA2132[[#This Row],[Project]],Projects[Project],Projects[Affiliation (Company/University/Place of Work)],"")</f>
        <v>Florida International University</v>
      </c>
      <c r="J216" s="10" t="str">
        <f>_xlfn.XLOOKUP(TableFA2132[[#This Row],[Project]],Projects[Project],Projects[Job Title],"")</f>
        <v>Capstone 2 Student</v>
      </c>
      <c r="K216" s="10">
        <f>COUNTIFS(TableFA2132[Project],TableFA2132[[#This Row],[Project]],TableFA2132[Program],TableFA2132[[#This Row],[Program]])</f>
        <v>4</v>
      </c>
      <c r="L216" s="10">
        <f>COUNTIFS(TableFA2132[Project],TableFA2132[[#This Row],[Project]])</f>
        <v>4</v>
      </c>
      <c r="M216" s="3" t="s">
        <v>35</v>
      </c>
      <c r="P216" s="3" t="s">
        <v>36</v>
      </c>
      <c r="Q216" s="3" t="s">
        <v>36</v>
      </c>
      <c r="R216" s="3" t="s">
        <v>36</v>
      </c>
      <c r="S216" s="3" t="s">
        <v>36</v>
      </c>
      <c r="T216" s="3" t="s">
        <v>36</v>
      </c>
      <c r="U216" s="3" t="s">
        <v>36</v>
      </c>
      <c r="V216" s="3" t="s">
        <v>36</v>
      </c>
      <c r="W216" s="3" t="s">
        <v>36</v>
      </c>
      <c r="X216" s="21" t="s">
        <v>36</v>
      </c>
      <c r="Y216" s="3" t="s">
        <v>36</v>
      </c>
      <c r="Z216" s="3" t="s">
        <v>36</v>
      </c>
      <c r="AA216" s="3" t="s">
        <v>36</v>
      </c>
      <c r="AB216" s="3" t="s">
        <v>36</v>
      </c>
      <c r="AC216" s="3" t="s">
        <v>36</v>
      </c>
      <c r="AD216" s="3"/>
    </row>
    <row r="217" spans="1:30" x14ac:dyDescent="0.2">
      <c r="A217" t="s">
        <v>518</v>
      </c>
      <c r="B217" t="s">
        <v>519</v>
      </c>
      <c r="C217" t="s">
        <v>486</v>
      </c>
      <c r="D217" t="s">
        <v>110</v>
      </c>
      <c r="E217" t="s">
        <v>33</v>
      </c>
      <c r="F217" s="1" t="s">
        <v>517</v>
      </c>
      <c r="G217" s="1" t="str">
        <f>_xlfn.XLOOKUP(TableFA2132[[#This Row],[Project]],Projects[Project],Projects[Full Name],"")</f>
        <v>Joseph McNulty-Lamparter</v>
      </c>
      <c r="H217" s="1" t="str">
        <f>_xlfn.XLOOKUP(TableFA2132[[#This Row],[Project]],Projects[Project],Projects[Work Email (no gmail/hotmail/etc.)],"")</f>
        <v>jmcnu007@fiu.edu</v>
      </c>
      <c r="I217" s="1" t="str">
        <f>_xlfn.XLOOKUP(TableFA2132[[#This Row],[Project]],Projects[Project],Projects[Affiliation (Company/University/Place of Work)],"")</f>
        <v>Florida International University</v>
      </c>
      <c r="J217" s="1" t="str">
        <f>_xlfn.XLOOKUP(TableFA2132[[#This Row],[Project]],Projects[Project],Projects[Job Title],"")</f>
        <v>Capstone 2 Student</v>
      </c>
      <c r="K217" s="10">
        <f>COUNTIFS(TableFA2132[Project],TableFA2132[[#This Row],[Project]],TableFA2132[Program],TableFA2132[[#This Row],[Program]])</f>
        <v>4</v>
      </c>
      <c r="L217" s="10">
        <f>COUNTIFS(TableFA2132[Project],TableFA2132[[#This Row],[Project]])</f>
        <v>4</v>
      </c>
      <c r="P217" t="s">
        <v>36</v>
      </c>
      <c r="Q217" t="s">
        <v>36</v>
      </c>
      <c r="R217" t="s">
        <v>36</v>
      </c>
      <c r="S217" t="s">
        <v>36</v>
      </c>
      <c r="T217" t="s">
        <v>36</v>
      </c>
      <c r="U217" t="s">
        <v>74</v>
      </c>
      <c r="V217" t="s">
        <v>74</v>
      </c>
      <c r="W217" t="s">
        <v>74</v>
      </c>
      <c r="X217" s="5" t="s">
        <v>74</v>
      </c>
      <c r="Y217" t="s">
        <v>163</v>
      </c>
      <c r="Z217" t="s">
        <v>163</v>
      </c>
      <c r="AA217" t="s">
        <v>36</v>
      </c>
      <c r="AB217" t="s">
        <v>36</v>
      </c>
      <c r="AC217" t="s">
        <v>36</v>
      </c>
    </row>
    <row r="218" spans="1:30" x14ac:dyDescent="0.2">
      <c r="A218" t="s">
        <v>520</v>
      </c>
      <c r="B218" t="s">
        <v>521</v>
      </c>
      <c r="C218" t="s">
        <v>486</v>
      </c>
      <c r="D218" t="s">
        <v>110</v>
      </c>
      <c r="E218" t="s">
        <v>33</v>
      </c>
      <c r="F218" s="1" t="s">
        <v>517</v>
      </c>
      <c r="G218" s="1" t="str">
        <f>_xlfn.XLOOKUP(TableFA2132[[#This Row],[Project]],Projects[Project],Projects[Full Name],"")</f>
        <v>Joseph McNulty-Lamparter</v>
      </c>
      <c r="H218" s="1" t="str">
        <f>_xlfn.XLOOKUP(TableFA2132[[#This Row],[Project]],Projects[Project],Projects[Work Email (no gmail/hotmail/etc.)],"")</f>
        <v>jmcnu007@fiu.edu</v>
      </c>
      <c r="I218" s="1" t="str">
        <f>_xlfn.XLOOKUP(TableFA2132[[#This Row],[Project]],Projects[Project],Projects[Affiliation (Company/University/Place of Work)],"")</f>
        <v>Florida International University</v>
      </c>
      <c r="J218" s="1" t="str">
        <f>_xlfn.XLOOKUP(TableFA2132[[#This Row],[Project]],Projects[Project],Projects[Job Title],"")</f>
        <v>Capstone 2 Student</v>
      </c>
      <c r="K218" s="10">
        <f>COUNTIFS(TableFA2132[Project],TableFA2132[[#This Row],[Project]],TableFA2132[Program],TableFA2132[[#This Row],[Program]])</f>
        <v>4</v>
      </c>
      <c r="L218" s="10">
        <f>COUNTIFS(TableFA2132[Project],TableFA2132[[#This Row],[Project]])</f>
        <v>4</v>
      </c>
      <c r="P218" t="s">
        <v>36</v>
      </c>
      <c r="Q218" t="s">
        <v>36</v>
      </c>
      <c r="R218" t="s">
        <v>36</v>
      </c>
      <c r="S218" t="s">
        <v>36</v>
      </c>
      <c r="T218" t="s">
        <v>36</v>
      </c>
      <c r="U218" t="s">
        <v>36</v>
      </c>
      <c r="V218" t="s">
        <v>36</v>
      </c>
      <c r="W218" t="s">
        <v>36</v>
      </c>
      <c r="X218" s="5" t="s">
        <v>36</v>
      </c>
      <c r="Y218" t="s">
        <v>36</v>
      </c>
      <c r="Z218" t="s">
        <v>36</v>
      </c>
      <c r="AA218" t="s">
        <v>36</v>
      </c>
      <c r="AB218" t="s">
        <v>36</v>
      </c>
      <c r="AC218" t="s">
        <v>36</v>
      </c>
    </row>
    <row r="219" spans="1:30" x14ac:dyDescent="0.2">
      <c r="A219" t="s">
        <v>522</v>
      </c>
      <c r="B219" t="s">
        <v>523</v>
      </c>
      <c r="C219" t="s">
        <v>486</v>
      </c>
      <c r="D219" t="s">
        <v>110</v>
      </c>
      <c r="E219" t="s">
        <v>33</v>
      </c>
      <c r="F219" s="1" t="s">
        <v>517</v>
      </c>
      <c r="G219" s="1" t="str">
        <f>_xlfn.XLOOKUP(TableFA2132[[#This Row],[Project]],Projects[Project],Projects[Full Name],"")</f>
        <v>Joseph McNulty-Lamparter</v>
      </c>
      <c r="H219" s="1" t="str">
        <f>_xlfn.XLOOKUP(TableFA2132[[#This Row],[Project]],Projects[Project],Projects[Work Email (no gmail/hotmail/etc.)],"")</f>
        <v>jmcnu007@fiu.edu</v>
      </c>
      <c r="I219" s="1" t="str">
        <f>_xlfn.XLOOKUP(TableFA2132[[#This Row],[Project]],Projects[Project],Projects[Affiliation (Company/University/Place of Work)],"")</f>
        <v>Florida International University</v>
      </c>
      <c r="J219" s="1" t="str">
        <f>_xlfn.XLOOKUP(TableFA2132[[#This Row],[Project]],Projects[Project],Projects[Job Title],"")</f>
        <v>Capstone 2 Student</v>
      </c>
      <c r="K219" s="10">
        <f>COUNTIFS(TableFA2132[Project],TableFA2132[[#This Row],[Project]],TableFA2132[Program],TableFA2132[[#This Row],[Program]])</f>
        <v>4</v>
      </c>
      <c r="L219" s="10">
        <f>COUNTIFS(TableFA2132[Project],TableFA2132[[#This Row],[Project]])</f>
        <v>4</v>
      </c>
      <c r="P219" t="s">
        <v>74</v>
      </c>
      <c r="Q219" t="s">
        <v>36</v>
      </c>
      <c r="R219" t="s">
        <v>36</v>
      </c>
      <c r="S219" t="s">
        <v>36</v>
      </c>
      <c r="T219" t="s">
        <v>36</v>
      </c>
      <c r="U219" t="s">
        <v>163</v>
      </c>
      <c r="V219" t="s">
        <v>163</v>
      </c>
      <c r="W219" t="s">
        <v>74</v>
      </c>
      <c r="X219" s="5" t="s">
        <v>163</v>
      </c>
      <c r="Y219" t="s">
        <v>163</v>
      </c>
      <c r="Z219" t="s">
        <v>163</v>
      </c>
      <c r="AA219" t="s">
        <v>163</v>
      </c>
      <c r="AB219" t="s">
        <v>163</v>
      </c>
      <c r="AC219" s="5" t="s">
        <v>74</v>
      </c>
    </row>
    <row r="220" spans="1:30" x14ac:dyDescent="0.2">
      <c r="A220" t="s">
        <v>524</v>
      </c>
      <c r="B220" t="s">
        <v>525</v>
      </c>
      <c r="C220" t="s">
        <v>486</v>
      </c>
      <c r="D220" t="s">
        <v>110</v>
      </c>
      <c r="E220" t="s">
        <v>33</v>
      </c>
      <c r="F220" s="13" t="s">
        <v>526</v>
      </c>
      <c r="G220" s="1" t="str">
        <f>_xlfn.XLOOKUP(TableFA2132[[#This Row],[Project]],Projects[Project],Projects[Full Name],"")</f>
        <v>Esteban Oliva</v>
      </c>
      <c r="H220" s="1" t="str">
        <f>_xlfn.XLOOKUP(TableFA2132[[#This Row],[Project]],Projects[Project],Projects[Work Email (no gmail/hotmail/etc.)],"")</f>
        <v>eoliv080@fiu.edu</v>
      </c>
      <c r="I220" s="1" t="str">
        <f>_xlfn.XLOOKUP(TableFA2132[[#This Row],[Project]],Projects[Project],Projects[Affiliation (Company/University/Place of Work)],"")</f>
        <v>Florida International University</v>
      </c>
      <c r="J220" s="1" t="str">
        <f>_xlfn.XLOOKUP(TableFA2132[[#This Row],[Project]],Projects[Project],Projects[Job Title],"")</f>
        <v>Capstone 2 Student</v>
      </c>
      <c r="K220" s="10">
        <f>COUNTIFS(TableFA2132[Project],TableFA2132[[#This Row],[Project]],TableFA2132[Program],TableFA2132[[#This Row],[Program]])</f>
        <v>5</v>
      </c>
      <c r="L220" s="10">
        <f>COUNTIFS(TableFA2132[Project],TableFA2132[[#This Row],[Project]])</f>
        <v>5</v>
      </c>
      <c r="M220" s="22" t="s">
        <v>35</v>
      </c>
      <c r="P220" s="21" t="s">
        <v>36</v>
      </c>
      <c r="Q220" s="21" t="s">
        <v>36</v>
      </c>
      <c r="R220" s="21" t="s">
        <v>36</v>
      </c>
      <c r="S220" s="21" t="s">
        <v>36</v>
      </c>
      <c r="T220" s="21" t="s">
        <v>36</v>
      </c>
      <c r="U220" s="21" t="s">
        <v>36</v>
      </c>
      <c r="V220" s="21" t="s">
        <v>36</v>
      </c>
      <c r="W220" s="21" t="s">
        <v>36</v>
      </c>
      <c r="X220" s="21" t="s">
        <v>36</v>
      </c>
      <c r="Y220" t="s">
        <v>36</v>
      </c>
      <c r="Z220" t="s">
        <v>36</v>
      </c>
      <c r="AA220" t="s">
        <v>36</v>
      </c>
      <c r="AB220" t="s">
        <v>36</v>
      </c>
    </row>
    <row r="221" spans="1:30" x14ac:dyDescent="0.2">
      <c r="A221" t="s">
        <v>527</v>
      </c>
      <c r="B221" t="s">
        <v>528</v>
      </c>
      <c r="C221" t="s">
        <v>486</v>
      </c>
      <c r="D221" t="s">
        <v>110</v>
      </c>
      <c r="E221" t="s">
        <v>33</v>
      </c>
      <c r="F221" s="1" t="s">
        <v>526</v>
      </c>
      <c r="G221" s="1" t="str">
        <f>_xlfn.XLOOKUP(TableFA2132[[#This Row],[Project]],Projects[Project],Projects[Full Name],"")</f>
        <v>Esteban Oliva</v>
      </c>
      <c r="H221" s="1" t="str">
        <f>_xlfn.XLOOKUP(TableFA2132[[#This Row],[Project]],Projects[Project],Projects[Work Email (no gmail/hotmail/etc.)],"")</f>
        <v>eoliv080@fiu.edu</v>
      </c>
      <c r="I221" s="1" t="str">
        <f>_xlfn.XLOOKUP(TableFA2132[[#This Row],[Project]],Projects[Project],Projects[Affiliation (Company/University/Place of Work)],"")</f>
        <v>Florida International University</v>
      </c>
      <c r="J221" s="1" t="str">
        <f>_xlfn.XLOOKUP(TableFA2132[[#This Row],[Project]],Projects[Project],Projects[Job Title],"")</f>
        <v>Capstone 2 Student</v>
      </c>
      <c r="K221" s="10">
        <f>COUNTIFS(TableFA2132[Project],TableFA2132[[#This Row],[Project]],TableFA2132[Program],TableFA2132[[#This Row],[Program]])</f>
        <v>5</v>
      </c>
      <c r="L221" s="10">
        <f>COUNTIFS(TableFA2132[Project],TableFA2132[[#This Row],[Project]])</f>
        <v>5</v>
      </c>
      <c r="P221" t="s">
        <v>36</v>
      </c>
      <c r="Q221" t="s">
        <v>36</v>
      </c>
      <c r="R221" t="s">
        <v>36</v>
      </c>
      <c r="S221" t="s">
        <v>36</v>
      </c>
      <c r="T221" t="s">
        <v>36</v>
      </c>
      <c r="U221" t="s">
        <v>36</v>
      </c>
      <c r="V221" t="s">
        <v>36</v>
      </c>
      <c r="W221" t="s">
        <v>36</v>
      </c>
      <c r="X221" s="5" t="s">
        <v>36</v>
      </c>
      <c r="Y221" t="s">
        <v>163</v>
      </c>
      <c r="Z221" t="s">
        <v>163</v>
      </c>
      <c r="AA221" t="s">
        <v>164</v>
      </c>
      <c r="AB221" t="s">
        <v>164</v>
      </c>
    </row>
    <row r="222" spans="1:30" x14ac:dyDescent="0.2">
      <c r="A222" t="s">
        <v>529</v>
      </c>
      <c r="B222" t="s">
        <v>530</v>
      </c>
      <c r="C222" t="s">
        <v>486</v>
      </c>
      <c r="D222" t="s">
        <v>110</v>
      </c>
      <c r="E222" t="s">
        <v>33</v>
      </c>
      <c r="F222" s="1" t="s">
        <v>526</v>
      </c>
      <c r="G222" s="1" t="str">
        <f>_xlfn.XLOOKUP(TableFA2132[[#This Row],[Project]],Projects[Project],Projects[Full Name],"")</f>
        <v>Esteban Oliva</v>
      </c>
      <c r="H222" s="1" t="str">
        <f>_xlfn.XLOOKUP(TableFA2132[[#This Row],[Project]],Projects[Project],Projects[Work Email (no gmail/hotmail/etc.)],"")</f>
        <v>eoliv080@fiu.edu</v>
      </c>
      <c r="I222" s="1" t="str">
        <f>_xlfn.XLOOKUP(TableFA2132[[#This Row],[Project]],Projects[Project],Projects[Affiliation (Company/University/Place of Work)],"")</f>
        <v>Florida International University</v>
      </c>
      <c r="J222" s="1" t="str">
        <f>_xlfn.XLOOKUP(TableFA2132[[#This Row],[Project]],Projects[Project],Projects[Job Title],"")</f>
        <v>Capstone 2 Student</v>
      </c>
      <c r="K222" s="10">
        <f>COUNTIFS(TableFA2132[Project],TableFA2132[[#This Row],[Project]],TableFA2132[Program],TableFA2132[[#This Row],[Program]])</f>
        <v>5</v>
      </c>
      <c r="L222" s="10">
        <f>COUNTIFS(TableFA2132[Project],TableFA2132[[#This Row],[Project]])</f>
        <v>5</v>
      </c>
      <c r="P222" t="s">
        <v>36</v>
      </c>
      <c r="Q222" t="s">
        <v>36</v>
      </c>
      <c r="R222" t="s">
        <v>36</v>
      </c>
      <c r="S222" t="s">
        <v>36</v>
      </c>
      <c r="T222" t="s">
        <v>36</v>
      </c>
      <c r="U222" t="s">
        <v>36</v>
      </c>
      <c r="V222" t="s">
        <v>36</v>
      </c>
      <c r="W222" t="s">
        <v>36</v>
      </c>
      <c r="X222" s="5" t="s">
        <v>36</v>
      </c>
      <c r="Y222" t="s">
        <v>36</v>
      </c>
      <c r="Z222" t="s">
        <v>36</v>
      </c>
      <c r="AA222" t="s">
        <v>36</v>
      </c>
      <c r="AB222" t="s">
        <v>36</v>
      </c>
    </row>
    <row r="223" spans="1:30" x14ac:dyDescent="0.2">
      <c r="A223" t="s">
        <v>531</v>
      </c>
      <c r="B223" t="s">
        <v>532</v>
      </c>
      <c r="C223" t="s">
        <v>486</v>
      </c>
      <c r="D223" t="s">
        <v>32</v>
      </c>
      <c r="E223" t="s">
        <v>33</v>
      </c>
      <c r="F223" s="1" t="s">
        <v>526</v>
      </c>
      <c r="G223" s="1" t="str">
        <f>_xlfn.XLOOKUP(TableFA2132[[#This Row],[Project]],Projects[Project],Projects[Full Name],"")</f>
        <v>Esteban Oliva</v>
      </c>
      <c r="H223" s="1" t="str">
        <f>_xlfn.XLOOKUP(TableFA2132[[#This Row],[Project]],Projects[Project],Projects[Work Email (no gmail/hotmail/etc.)],"")</f>
        <v>eoliv080@fiu.edu</v>
      </c>
      <c r="I223" s="1" t="str">
        <f>_xlfn.XLOOKUP(TableFA2132[[#This Row],[Project]],Projects[Project],Projects[Affiliation (Company/University/Place of Work)],"")</f>
        <v>Florida International University</v>
      </c>
      <c r="J223" s="1" t="str">
        <f>_xlfn.XLOOKUP(TableFA2132[[#This Row],[Project]],Projects[Project],Projects[Job Title],"")</f>
        <v>Capstone 2 Student</v>
      </c>
      <c r="K223" s="10">
        <f>COUNTIFS(TableFA2132[Project],TableFA2132[[#This Row],[Project]],TableFA2132[Program],TableFA2132[[#This Row],[Program]])</f>
        <v>5</v>
      </c>
      <c r="L223" s="10">
        <f>COUNTIFS(TableFA2132[Project],TableFA2132[[#This Row],[Project]])</f>
        <v>5</v>
      </c>
      <c r="P223" t="s">
        <v>36</v>
      </c>
      <c r="Q223" t="s">
        <v>36</v>
      </c>
      <c r="R223" t="s">
        <v>36</v>
      </c>
      <c r="S223" t="s">
        <v>36</v>
      </c>
      <c r="T223" t="s">
        <v>36</v>
      </c>
      <c r="U223" t="s">
        <v>36</v>
      </c>
      <c r="V223" t="s">
        <v>36</v>
      </c>
      <c r="W223" t="s">
        <v>36</v>
      </c>
      <c r="X223" s="5" t="s">
        <v>36</v>
      </c>
      <c r="Y223" t="s">
        <v>36</v>
      </c>
      <c r="Z223" t="s">
        <v>36</v>
      </c>
      <c r="AA223" t="s">
        <v>36</v>
      </c>
      <c r="AB223" t="s">
        <v>36</v>
      </c>
    </row>
    <row r="224" spans="1:30" x14ac:dyDescent="0.2">
      <c r="A224" t="s">
        <v>533</v>
      </c>
      <c r="B224" t="s">
        <v>534</v>
      </c>
      <c r="C224" t="s">
        <v>486</v>
      </c>
      <c r="D224" t="s">
        <v>110</v>
      </c>
      <c r="E224" t="s">
        <v>33</v>
      </c>
      <c r="F224" s="13" t="s">
        <v>526</v>
      </c>
      <c r="G224" s="1" t="str">
        <f>_xlfn.XLOOKUP(TableFA2132[[#This Row],[Project]],Projects[Project],Projects[Full Name],"")</f>
        <v>Esteban Oliva</v>
      </c>
      <c r="H224" s="1" t="str">
        <f>_xlfn.XLOOKUP(TableFA2132[[#This Row],[Project]],Projects[Project],Projects[Work Email (no gmail/hotmail/etc.)],"")</f>
        <v>eoliv080@fiu.edu</v>
      </c>
      <c r="I224" s="1" t="str">
        <f>_xlfn.XLOOKUP(TableFA2132[[#This Row],[Project]],Projects[Project],Projects[Affiliation (Company/University/Place of Work)],"")</f>
        <v>Florida International University</v>
      </c>
      <c r="J224" s="1" t="str">
        <f>_xlfn.XLOOKUP(TableFA2132[[#This Row],[Project]],Projects[Project],Projects[Job Title],"")</f>
        <v>Capstone 2 Student</v>
      </c>
      <c r="K224" s="10">
        <f>COUNTIFS(TableFA2132[Project],TableFA2132[[#This Row],[Project]],TableFA2132[Program],TableFA2132[[#This Row],[Program]])</f>
        <v>5</v>
      </c>
      <c r="L224" s="10">
        <f>COUNTIFS(TableFA2132[Project],TableFA2132[[#This Row],[Project]])</f>
        <v>5</v>
      </c>
      <c r="P224" t="s">
        <v>36</v>
      </c>
      <c r="Q224" t="s">
        <v>36</v>
      </c>
      <c r="R224" t="s">
        <v>36</v>
      </c>
      <c r="S224" t="s">
        <v>36</v>
      </c>
      <c r="T224" t="s">
        <v>36</v>
      </c>
      <c r="U224" t="s">
        <v>36</v>
      </c>
      <c r="V224" t="s">
        <v>36</v>
      </c>
      <c r="W224" t="s">
        <v>36</v>
      </c>
      <c r="X224" s="5" t="s">
        <v>36</v>
      </c>
      <c r="Y224" t="s">
        <v>36</v>
      </c>
      <c r="Z224" t="s">
        <v>36</v>
      </c>
      <c r="AA224" t="s">
        <v>36</v>
      </c>
      <c r="AB224" t="s">
        <v>36</v>
      </c>
    </row>
    <row r="225" spans="1:29" x14ac:dyDescent="0.2">
      <c r="A225" t="s">
        <v>535</v>
      </c>
      <c r="B225" s="3" t="s">
        <v>536</v>
      </c>
      <c r="C225" s="3" t="s">
        <v>486</v>
      </c>
      <c r="D225" s="10" t="s">
        <v>32</v>
      </c>
      <c r="E225" t="s">
        <v>33</v>
      </c>
      <c r="F225" s="3" t="s">
        <v>537</v>
      </c>
      <c r="G225" s="10" t="str">
        <f>_xlfn.XLOOKUP(TableFA2132[[#This Row],[Project]],Projects[Project],Projects[Full Name],"")</f>
        <v>Jayden Sandoval</v>
      </c>
      <c r="H225" s="10" t="str">
        <f>_xlfn.XLOOKUP(TableFA2132[[#This Row],[Project]],Projects[Project],Projects[Work Email (no gmail/hotmail/etc.)],"")</f>
        <v>jsand146@fiu.edu</v>
      </c>
      <c r="I225" s="10" t="str">
        <f>_xlfn.XLOOKUP(TableFA2132[[#This Row],[Project]],Projects[Project],Projects[Affiliation (Company/University/Place of Work)],"")</f>
        <v>Florida International University</v>
      </c>
      <c r="J225" s="10" t="str">
        <f>_xlfn.XLOOKUP(TableFA2132[[#This Row],[Project]],Projects[Project],Projects[Job Title],"")</f>
        <v>Capstone 2 Student</v>
      </c>
      <c r="K225" s="10">
        <f>COUNTIFS(TableFA2132[Project],TableFA2132[[#This Row],[Project]],TableFA2132[Program],TableFA2132[[#This Row],[Program]])</f>
        <v>4</v>
      </c>
      <c r="L225" s="10">
        <f>COUNTIFS(TableFA2132[Project],TableFA2132[[#This Row],[Project]])</f>
        <v>4</v>
      </c>
      <c r="M225" s="3" t="s">
        <v>35</v>
      </c>
      <c r="N225" s="3"/>
      <c r="O225" s="3"/>
      <c r="P225" s="3" t="s">
        <v>36</v>
      </c>
      <c r="Q225" s="3" t="s">
        <v>36</v>
      </c>
      <c r="R225" s="3" t="s">
        <v>36</v>
      </c>
      <c r="S225" s="3" t="s">
        <v>36</v>
      </c>
      <c r="T225" s="3" t="s">
        <v>36</v>
      </c>
      <c r="U225" s="3" t="s">
        <v>36</v>
      </c>
      <c r="V225" s="3" t="s">
        <v>36</v>
      </c>
      <c r="W225" s="3" t="s">
        <v>36</v>
      </c>
      <c r="X225" s="21" t="s">
        <v>36</v>
      </c>
      <c r="Y225" s="3" t="s">
        <v>36</v>
      </c>
      <c r="Z225" s="3" t="s">
        <v>36</v>
      </c>
      <c r="AA225" s="3" t="s">
        <v>36</v>
      </c>
      <c r="AB225" s="3" t="s">
        <v>36</v>
      </c>
      <c r="AC225" s="3" t="s">
        <v>36</v>
      </c>
    </row>
    <row r="226" spans="1:29" x14ac:dyDescent="0.2">
      <c r="A226" t="s">
        <v>538</v>
      </c>
      <c r="B226" t="s">
        <v>539</v>
      </c>
      <c r="C226" t="s">
        <v>486</v>
      </c>
      <c r="D226" t="s">
        <v>32</v>
      </c>
      <c r="E226" t="s">
        <v>33</v>
      </c>
      <c r="F226" s="1" t="s">
        <v>537</v>
      </c>
      <c r="G226" s="1" t="str">
        <f>_xlfn.XLOOKUP(TableFA2132[[#This Row],[Project]],Projects[Project],Projects[Full Name],"")</f>
        <v>Jayden Sandoval</v>
      </c>
      <c r="H226" s="1" t="str">
        <f>_xlfn.XLOOKUP(TableFA2132[[#This Row],[Project]],Projects[Project],Projects[Work Email (no gmail/hotmail/etc.)],"")</f>
        <v>jsand146@fiu.edu</v>
      </c>
      <c r="I226" s="1" t="str">
        <f>_xlfn.XLOOKUP(TableFA2132[[#This Row],[Project]],Projects[Project],Projects[Affiliation (Company/University/Place of Work)],"")</f>
        <v>Florida International University</v>
      </c>
      <c r="J226" s="1" t="str">
        <f>_xlfn.XLOOKUP(TableFA2132[[#This Row],[Project]],Projects[Project],Projects[Job Title],"")</f>
        <v>Capstone 2 Student</v>
      </c>
      <c r="K226" s="10">
        <f>COUNTIFS(TableFA2132[Project],TableFA2132[[#This Row],[Project]],TableFA2132[Program],TableFA2132[[#This Row],[Program]])</f>
        <v>4</v>
      </c>
      <c r="L226" s="10">
        <f>COUNTIFS(TableFA2132[Project],TableFA2132[[#This Row],[Project]])</f>
        <v>4</v>
      </c>
      <c r="P226" t="s">
        <v>36</v>
      </c>
      <c r="Q226" t="s">
        <v>36</v>
      </c>
      <c r="R226" t="s">
        <v>36</v>
      </c>
      <c r="S226" t="s">
        <v>36</v>
      </c>
      <c r="T226" t="s">
        <v>36</v>
      </c>
      <c r="U226" t="s">
        <v>74</v>
      </c>
      <c r="V226" t="s">
        <v>74</v>
      </c>
      <c r="W226" t="s">
        <v>74</v>
      </c>
      <c r="X226" s="5" t="s">
        <v>74</v>
      </c>
      <c r="Y226" t="s">
        <v>74</v>
      </c>
      <c r="Z226" t="s">
        <v>163</v>
      </c>
      <c r="AA226" t="s">
        <v>163</v>
      </c>
      <c r="AB226" t="s">
        <v>163</v>
      </c>
      <c r="AC226" t="s">
        <v>163</v>
      </c>
    </row>
    <row r="227" spans="1:29" x14ac:dyDescent="0.2">
      <c r="A227" t="s">
        <v>540</v>
      </c>
      <c r="B227" t="s">
        <v>541</v>
      </c>
      <c r="C227" t="s">
        <v>486</v>
      </c>
      <c r="D227" t="s">
        <v>32</v>
      </c>
      <c r="E227" t="s">
        <v>33</v>
      </c>
      <c r="F227" s="1" t="s">
        <v>537</v>
      </c>
      <c r="G227" s="1" t="str">
        <f>_xlfn.XLOOKUP(TableFA2132[[#This Row],[Project]],Projects[Project],Projects[Full Name],"")</f>
        <v>Jayden Sandoval</v>
      </c>
      <c r="H227" s="1" t="str">
        <f>_xlfn.XLOOKUP(TableFA2132[[#This Row],[Project]],Projects[Project],Projects[Work Email (no gmail/hotmail/etc.)],"")</f>
        <v>jsand146@fiu.edu</v>
      </c>
      <c r="I227" s="1" t="str">
        <f>_xlfn.XLOOKUP(TableFA2132[[#This Row],[Project]],Projects[Project],Projects[Affiliation (Company/University/Place of Work)],"")</f>
        <v>Florida International University</v>
      </c>
      <c r="J227" s="1" t="str">
        <f>_xlfn.XLOOKUP(TableFA2132[[#This Row],[Project]],Projects[Project],Projects[Job Title],"")</f>
        <v>Capstone 2 Student</v>
      </c>
      <c r="K227" s="10">
        <f>COUNTIFS(TableFA2132[Project],TableFA2132[[#This Row],[Project]],TableFA2132[Program],TableFA2132[[#This Row],[Program]])</f>
        <v>4</v>
      </c>
      <c r="L227" s="10">
        <f>COUNTIFS(TableFA2132[Project],TableFA2132[[#This Row],[Project]])</f>
        <v>4</v>
      </c>
      <c r="P227" t="s">
        <v>36</v>
      </c>
      <c r="Q227" t="s">
        <v>36</v>
      </c>
      <c r="R227" t="s">
        <v>36</v>
      </c>
      <c r="S227" t="s">
        <v>36</v>
      </c>
      <c r="T227" t="s">
        <v>36</v>
      </c>
      <c r="U227" t="s">
        <v>36</v>
      </c>
      <c r="V227" t="s">
        <v>36</v>
      </c>
      <c r="W227" t="s">
        <v>36</v>
      </c>
      <c r="X227" s="5" t="s">
        <v>36</v>
      </c>
      <c r="Y227" t="s">
        <v>36</v>
      </c>
      <c r="Z227" t="s">
        <v>36</v>
      </c>
      <c r="AA227" t="s">
        <v>36</v>
      </c>
      <c r="AB227" t="s">
        <v>36</v>
      </c>
      <c r="AC227" t="s">
        <v>36</v>
      </c>
    </row>
    <row r="228" spans="1:29" x14ac:dyDescent="0.2">
      <c r="A228" t="s">
        <v>542</v>
      </c>
      <c r="B228" t="s">
        <v>543</v>
      </c>
      <c r="C228" t="s">
        <v>486</v>
      </c>
      <c r="D228" s="1" t="s">
        <v>32</v>
      </c>
      <c r="E228" t="s">
        <v>33</v>
      </c>
      <c r="F228" t="s">
        <v>537</v>
      </c>
      <c r="G228" s="1" t="str">
        <f>_xlfn.XLOOKUP(TableFA2132[[#This Row],[Project]],Projects[Project],Projects[Full Name],"")</f>
        <v>Jayden Sandoval</v>
      </c>
      <c r="H228" s="1" t="str">
        <f>_xlfn.XLOOKUP(TableFA2132[[#This Row],[Project]],Projects[Project],Projects[Work Email (no gmail/hotmail/etc.)],"")</f>
        <v>jsand146@fiu.edu</v>
      </c>
      <c r="I228" s="1" t="str">
        <f>_xlfn.XLOOKUP(TableFA2132[[#This Row],[Project]],Projects[Project],Projects[Affiliation (Company/University/Place of Work)],"")</f>
        <v>Florida International University</v>
      </c>
      <c r="J228" s="1" t="str">
        <f>_xlfn.XLOOKUP(TableFA2132[[#This Row],[Project]],Projects[Project],Projects[Job Title],"")</f>
        <v>Capstone 2 Student</v>
      </c>
      <c r="K228" s="10">
        <f>COUNTIFS(TableFA2132[Project],TableFA2132[[#This Row],[Project]],TableFA2132[Program],TableFA2132[[#This Row],[Program]])</f>
        <v>4</v>
      </c>
      <c r="L228" s="10">
        <f>COUNTIFS(TableFA2132[Project],TableFA2132[[#This Row],[Project]])</f>
        <v>4</v>
      </c>
      <c r="P228" t="s">
        <v>36</v>
      </c>
      <c r="Q228" t="s">
        <v>36</v>
      </c>
      <c r="R228" t="s">
        <v>36</v>
      </c>
      <c r="S228" t="s">
        <v>36</v>
      </c>
      <c r="T228" t="s">
        <v>36</v>
      </c>
      <c r="U228" t="s">
        <v>36</v>
      </c>
      <c r="V228" t="s">
        <v>36</v>
      </c>
      <c r="W228" t="s">
        <v>36</v>
      </c>
      <c r="X228" s="5" t="s">
        <v>74</v>
      </c>
      <c r="Y228" t="s">
        <v>74</v>
      </c>
      <c r="Z228" t="s">
        <v>36</v>
      </c>
      <c r="AA228" t="s">
        <v>36</v>
      </c>
      <c r="AB228" t="s">
        <v>36</v>
      </c>
      <c r="AC228" t="s">
        <v>36</v>
      </c>
    </row>
    <row r="229" spans="1:29" x14ac:dyDescent="0.2">
      <c r="A229" s="3" t="s">
        <v>544</v>
      </c>
      <c r="B229" s="3" t="s">
        <v>545</v>
      </c>
      <c r="C229" s="3" t="s">
        <v>486</v>
      </c>
      <c r="D229" s="3" t="s">
        <v>32</v>
      </c>
      <c r="E229" t="s">
        <v>33</v>
      </c>
      <c r="F229" s="10" t="s">
        <v>546</v>
      </c>
      <c r="G229" s="10" t="str">
        <f>_xlfn.XLOOKUP(TableFA2132[[#This Row],[Project]],Projects[Project],Projects[Full Name],"")</f>
        <v>Giordano Galarce</v>
      </c>
      <c r="H229" s="10" t="str">
        <f>_xlfn.XLOOKUP(TableFA2132[[#This Row],[Project]],Projects[Project],Projects[Work Email (no gmail/hotmail/etc.)],"")</f>
        <v>ggala016@fiu.edu</v>
      </c>
      <c r="I229" s="10" t="str">
        <f>_xlfn.XLOOKUP(TableFA2132[[#This Row],[Project]],Projects[Project],Projects[Affiliation (Company/University/Place of Work)],"")</f>
        <v>Florida International University</v>
      </c>
      <c r="J229" s="10" t="str">
        <f>_xlfn.XLOOKUP(TableFA2132[[#This Row],[Project]],Projects[Project],Projects[Job Title],"")</f>
        <v>Capstone 2 Student</v>
      </c>
      <c r="K229" s="10">
        <f>COUNTIFS(TableFA2132[Project],TableFA2132[[#This Row],[Project]],TableFA2132[Program],TableFA2132[[#This Row],[Program]])</f>
        <v>4</v>
      </c>
      <c r="L229" s="10">
        <f>COUNTIFS(TableFA2132[Project],TableFA2132[[#This Row],[Project]])</f>
        <v>4</v>
      </c>
      <c r="M229" s="3" t="s">
        <v>35</v>
      </c>
      <c r="N229" s="3"/>
      <c r="O229" s="3"/>
      <c r="P229" s="3" t="s">
        <v>36</v>
      </c>
      <c r="Q229" s="3" t="s">
        <v>36</v>
      </c>
      <c r="R229" s="3" t="s">
        <v>36</v>
      </c>
      <c r="S229" s="3" t="s">
        <v>36</v>
      </c>
      <c r="T229" s="3" t="s">
        <v>36</v>
      </c>
      <c r="U229" s="3" t="s">
        <v>36</v>
      </c>
      <c r="V229" s="3" t="s">
        <v>36</v>
      </c>
      <c r="W229" s="3" t="s">
        <v>36</v>
      </c>
      <c r="X229" s="21" t="s">
        <v>36</v>
      </c>
      <c r="Y229" s="3" t="s">
        <v>36</v>
      </c>
      <c r="Z229" s="3" t="s">
        <v>36</v>
      </c>
      <c r="AA229" s="3" t="s">
        <v>36</v>
      </c>
      <c r="AB229" s="3" t="s">
        <v>36</v>
      </c>
      <c r="AC229" s="3"/>
    </row>
    <row r="230" spans="1:29" x14ac:dyDescent="0.2">
      <c r="A230" t="s">
        <v>547</v>
      </c>
      <c r="B230" t="s">
        <v>548</v>
      </c>
      <c r="C230" t="s">
        <v>486</v>
      </c>
      <c r="D230" t="s">
        <v>32</v>
      </c>
      <c r="E230" t="s">
        <v>33</v>
      </c>
      <c r="F230" s="1" t="s">
        <v>546</v>
      </c>
      <c r="G230" s="1" t="str">
        <f>_xlfn.XLOOKUP(TableFA2132[[#This Row],[Project]],Projects[Project],Projects[Full Name],"")</f>
        <v>Giordano Galarce</v>
      </c>
      <c r="H230" s="1" t="str">
        <f>_xlfn.XLOOKUP(TableFA2132[[#This Row],[Project]],Projects[Project],Projects[Work Email (no gmail/hotmail/etc.)],"")</f>
        <v>ggala016@fiu.edu</v>
      </c>
      <c r="I230" s="1" t="str">
        <f>_xlfn.XLOOKUP(TableFA2132[[#This Row],[Project]],Projects[Project],Projects[Affiliation (Company/University/Place of Work)],"")</f>
        <v>Florida International University</v>
      </c>
      <c r="J230" s="1" t="str">
        <f>_xlfn.XLOOKUP(TableFA2132[[#This Row],[Project]],Projects[Project],Projects[Job Title],"")</f>
        <v>Capstone 2 Student</v>
      </c>
      <c r="K230" s="10">
        <f>COUNTIFS(TableFA2132[Project],TableFA2132[[#This Row],[Project]],TableFA2132[Program],TableFA2132[[#This Row],[Program]])</f>
        <v>4</v>
      </c>
      <c r="L230" s="10">
        <f>COUNTIFS(TableFA2132[Project],TableFA2132[[#This Row],[Project]])</f>
        <v>4</v>
      </c>
      <c r="P230" t="s">
        <v>36</v>
      </c>
      <c r="Q230" t="s">
        <v>36</v>
      </c>
      <c r="R230" t="s">
        <v>36</v>
      </c>
      <c r="S230" t="s">
        <v>36</v>
      </c>
      <c r="T230" t="s">
        <v>36</v>
      </c>
      <c r="U230" t="s">
        <v>36</v>
      </c>
      <c r="V230" t="s">
        <v>36</v>
      </c>
      <c r="W230" t="s">
        <v>36</v>
      </c>
      <c r="X230" s="5" t="s">
        <v>36</v>
      </c>
      <c r="Y230" t="s">
        <v>36</v>
      </c>
      <c r="Z230" t="s">
        <v>36</v>
      </c>
      <c r="AA230" t="s">
        <v>36</v>
      </c>
      <c r="AB230" t="s">
        <v>36</v>
      </c>
    </row>
    <row r="231" spans="1:29" x14ac:dyDescent="0.2">
      <c r="A231" t="s">
        <v>549</v>
      </c>
      <c r="B231" t="s">
        <v>550</v>
      </c>
      <c r="C231" t="s">
        <v>486</v>
      </c>
      <c r="D231" t="s">
        <v>32</v>
      </c>
      <c r="E231" t="s">
        <v>33</v>
      </c>
      <c r="F231" s="1" t="s">
        <v>546</v>
      </c>
      <c r="G231" s="1" t="str">
        <f>_xlfn.XLOOKUP(TableFA2132[[#This Row],[Project]],Projects[Project],Projects[Full Name],"")</f>
        <v>Giordano Galarce</v>
      </c>
      <c r="H231" s="1" t="str">
        <f>_xlfn.XLOOKUP(TableFA2132[[#This Row],[Project]],Projects[Project],Projects[Work Email (no gmail/hotmail/etc.)],"")</f>
        <v>ggala016@fiu.edu</v>
      </c>
      <c r="I231" s="1" t="str">
        <f>_xlfn.XLOOKUP(TableFA2132[[#This Row],[Project]],Projects[Project],Projects[Affiliation (Company/University/Place of Work)],"")</f>
        <v>Florida International University</v>
      </c>
      <c r="J231" s="1" t="str">
        <f>_xlfn.XLOOKUP(TableFA2132[[#This Row],[Project]],Projects[Project],Projects[Job Title],"")</f>
        <v>Capstone 2 Student</v>
      </c>
      <c r="K231" s="10">
        <f>COUNTIFS(TableFA2132[Project],TableFA2132[[#This Row],[Project]],TableFA2132[Program],TableFA2132[[#This Row],[Program]])</f>
        <v>4</v>
      </c>
      <c r="L231" s="10">
        <f>COUNTIFS(TableFA2132[Project],TableFA2132[[#This Row],[Project]])</f>
        <v>4</v>
      </c>
      <c r="P231" t="s">
        <v>36</v>
      </c>
      <c r="Q231" t="s">
        <v>36</v>
      </c>
      <c r="R231" t="s">
        <v>36</v>
      </c>
      <c r="S231" t="s">
        <v>36</v>
      </c>
      <c r="T231" t="s">
        <v>36</v>
      </c>
      <c r="U231" t="s">
        <v>36</v>
      </c>
      <c r="V231" t="s">
        <v>36</v>
      </c>
      <c r="W231" t="s">
        <v>36</v>
      </c>
      <c r="X231" s="5" t="s">
        <v>36</v>
      </c>
      <c r="Y231" t="s">
        <v>36</v>
      </c>
      <c r="Z231" t="s">
        <v>36</v>
      </c>
      <c r="AA231" t="s">
        <v>36</v>
      </c>
      <c r="AB231" t="s">
        <v>36</v>
      </c>
    </row>
    <row r="232" spans="1:29" x14ac:dyDescent="0.2">
      <c r="A232" t="s">
        <v>551</v>
      </c>
      <c r="B232" t="s">
        <v>552</v>
      </c>
      <c r="C232" t="s">
        <v>486</v>
      </c>
      <c r="D232" t="s">
        <v>32</v>
      </c>
      <c r="E232" t="s">
        <v>33</v>
      </c>
      <c r="F232" s="1" t="s">
        <v>546</v>
      </c>
      <c r="G232" s="1" t="str">
        <f>_xlfn.XLOOKUP(TableFA2132[[#This Row],[Project]],Projects[Project],Projects[Full Name],"")</f>
        <v>Giordano Galarce</v>
      </c>
      <c r="H232" s="1" t="str">
        <f>_xlfn.XLOOKUP(TableFA2132[[#This Row],[Project]],Projects[Project],Projects[Work Email (no gmail/hotmail/etc.)],"")</f>
        <v>ggala016@fiu.edu</v>
      </c>
      <c r="I232" s="1" t="str">
        <f>_xlfn.XLOOKUP(TableFA2132[[#This Row],[Project]],Projects[Project],Projects[Affiliation (Company/University/Place of Work)],"")</f>
        <v>Florida International University</v>
      </c>
      <c r="J232" s="1" t="str">
        <f>_xlfn.XLOOKUP(TableFA2132[[#This Row],[Project]],Projects[Project],Projects[Job Title],"")</f>
        <v>Capstone 2 Student</v>
      </c>
      <c r="K232" s="10">
        <f>COUNTIFS(TableFA2132[Project],TableFA2132[[#This Row],[Project]],TableFA2132[Program],TableFA2132[[#This Row],[Program]])</f>
        <v>4</v>
      </c>
      <c r="L232" s="10">
        <f>COUNTIFS(TableFA2132[Project],TableFA2132[[#This Row],[Project]])</f>
        <v>4</v>
      </c>
      <c r="P232" t="s">
        <v>36</v>
      </c>
      <c r="Q232" t="s">
        <v>36</v>
      </c>
      <c r="R232" t="s">
        <v>36</v>
      </c>
      <c r="S232" t="s">
        <v>36</v>
      </c>
      <c r="T232" t="s">
        <v>36</v>
      </c>
      <c r="U232" t="s">
        <v>36</v>
      </c>
      <c r="V232" t="s">
        <v>36</v>
      </c>
      <c r="W232" t="s">
        <v>36</v>
      </c>
      <c r="X232" s="5" t="s">
        <v>36</v>
      </c>
      <c r="Y232" t="s">
        <v>36</v>
      </c>
      <c r="Z232" t="s">
        <v>36</v>
      </c>
      <c r="AA232" t="s">
        <v>36</v>
      </c>
      <c r="AB232" t="s">
        <v>36</v>
      </c>
    </row>
    <row r="233" spans="1:29" x14ac:dyDescent="0.2">
      <c r="A233" s="3" t="s">
        <v>553</v>
      </c>
      <c r="B233" s="3" t="s">
        <v>554</v>
      </c>
      <c r="C233" s="3" t="s">
        <v>486</v>
      </c>
      <c r="D233" s="3" t="s">
        <v>32</v>
      </c>
      <c r="E233" t="s">
        <v>33</v>
      </c>
      <c r="F233" s="10" t="s">
        <v>555</v>
      </c>
      <c r="G233" s="1" t="str">
        <f>_xlfn.XLOOKUP(TableFA2132[[#This Row],[Project]],Projects[Project],Projects[Full Name],"")</f>
        <v>Felipe Lorenzo</v>
      </c>
      <c r="H233" s="1" t="str">
        <f>_xlfn.XLOOKUP(TableFA2132[[#This Row],[Project]],Projects[Project],Projects[Work Email (no gmail/hotmail/etc.)],"")</f>
        <v>flore016@fiu.edu</v>
      </c>
      <c r="I233" s="1" t="str">
        <f>_xlfn.XLOOKUP(TableFA2132[[#This Row],[Project]],Projects[Project],Projects[Affiliation (Company/University/Place of Work)],"")</f>
        <v>Florida International University</v>
      </c>
      <c r="J233" s="1" t="str">
        <f>_xlfn.XLOOKUP(TableFA2132[[#This Row],[Project]],Projects[Project],Projects[Job Title],"")</f>
        <v>Capstone 2 Student</v>
      </c>
      <c r="K233" s="10">
        <f>COUNTIFS(TableFA2132[Project],TableFA2132[[#This Row],[Project]],TableFA2132[Program],TableFA2132[[#This Row],[Program]])</f>
        <v>5</v>
      </c>
      <c r="L233" s="10">
        <f>COUNTIFS(TableFA2132[Project],TableFA2132[[#This Row],[Project]])</f>
        <v>5</v>
      </c>
      <c r="M233" s="3" t="s">
        <v>35</v>
      </c>
      <c r="N233" s="3"/>
      <c r="O233" s="3"/>
      <c r="P233" s="3" t="s">
        <v>36</v>
      </c>
      <c r="Q233" s="3" t="s">
        <v>36</v>
      </c>
      <c r="R233" s="3" t="s">
        <v>36</v>
      </c>
      <c r="S233" s="3" t="s">
        <v>36</v>
      </c>
      <c r="T233" s="3" t="s">
        <v>36</v>
      </c>
      <c r="U233" s="3" t="s">
        <v>36</v>
      </c>
      <c r="V233" s="3" t="s">
        <v>36</v>
      </c>
      <c r="W233" s="3" t="s">
        <v>36</v>
      </c>
      <c r="X233" s="21" t="s">
        <v>36</v>
      </c>
      <c r="Y233" s="3" t="s">
        <v>36</v>
      </c>
      <c r="Z233" s="3" t="s">
        <v>36</v>
      </c>
      <c r="AA233" s="3" t="s">
        <v>36</v>
      </c>
      <c r="AB233" s="3" t="s">
        <v>36</v>
      </c>
      <c r="AC233" s="3" t="s">
        <v>36</v>
      </c>
    </row>
    <row r="234" spans="1:29" x14ac:dyDescent="0.2">
      <c r="A234" t="s">
        <v>556</v>
      </c>
      <c r="B234" t="s">
        <v>557</v>
      </c>
      <c r="C234" t="s">
        <v>486</v>
      </c>
      <c r="D234" t="s">
        <v>32</v>
      </c>
      <c r="E234" t="s">
        <v>33</v>
      </c>
      <c r="F234" s="1" t="s">
        <v>555</v>
      </c>
      <c r="G234" s="1" t="str">
        <f>_xlfn.XLOOKUP(TableFA2132[[#This Row],[Project]],Projects[Project],Projects[Full Name],"")</f>
        <v>Felipe Lorenzo</v>
      </c>
      <c r="H234" s="1" t="str">
        <f>_xlfn.XLOOKUP(TableFA2132[[#This Row],[Project]],Projects[Project],Projects[Work Email (no gmail/hotmail/etc.)],"")</f>
        <v>flore016@fiu.edu</v>
      </c>
      <c r="I234" s="1" t="str">
        <f>_xlfn.XLOOKUP(TableFA2132[[#This Row],[Project]],Projects[Project],Projects[Affiliation (Company/University/Place of Work)],"")</f>
        <v>Florida International University</v>
      </c>
      <c r="J234" s="1" t="str">
        <f>_xlfn.XLOOKUP(TableFA2132[[#This Row],[Project]],Projects[Project],Projects[Job Title],"")</f>
        <v>Capstone 2 Student</v>
      </c>
      <c r="K234" s="10">
        <f>COUNTIFS(TableFA2132[Project],TableFA2132[[#This Row],[Project]],TableFA2132[Program],TableFA2132[[#This Row],[Program]])</f>
        <v>5</v>
      </c>
      <c r="L234" s="10">
        <f>COUNTIFS(TableFA2132[Project],TableFA2132[[#This Row],[Project]])</f>
        <v>5</v>
      </c>
      <c r="P234" t="s">
        <v>36</v>
      </c>
      <c r="Q234" t="s">
        <v>36</v>
      </c>
      <c r="R234" t="s">
        <v>36</v>
      </c>
      <c r="S234" t="s">
        <v>36</v>
      </c>
      <c r="T234" t="s">
        <v>36</v>
      </c>
      <c r="U234" t="s">
        <v>36</v>
      </c>
      <c r="V234" t="s">
        <v>36</v>
      </c>
      <c r="W234" t="s">
        <v>36</v>
      </c>
      <c r="X234" s="5" t="s">
        <v>36</v>
      </c>
      <c r="Y234" t="s">
        <v>36</v>
      </c>
      <c r="Z234" t="s">
        <v>36</v>
      </c>
      <c r="AA234" t="s">
        <v>36</v>
      </c>
      <c r="AB234" t="s">
        <v>36</v>
      </c>
      <c r="AC234" t="s">
        <v>36</v>
      </c>
    </row>
    <row r="235" spans="1:29" x14ac:dyDescent="0.2">
      <c r="A235" t="s">
        <v>558</v>
      </c>
      <c r="B235" t="s">
        <v>559</v>
      </c>
      <c r="C235" t="s">
        <v>486</v>
      </c>
      <c r="D235" t="s">
        <v>32</v>
      </c>
      <c r="E235" t="s">
        <v>33</v>
      </c>
      <c r="F235" s="1" t="s">
        <v>555</v>
      </c>
      <c r="G235" s="1" t="str">
        <f>_xlfn.XLOOKUP(TableFA2132[[#This Row],[Project]],Projects[Project],Projects[Full Name],"")</f>
        <v>Felipe Lorenzo</v>
      </c>
      <c r="H235" s="1" t="str">
        <f>_xlfn.XLOOKUP(TableFA2132[[#This Row],[Project]],Projects[Project],Projects[Work Email (no gmail/hotmail/etc.)],"")</f>
        <v>flore016@fiu.edu</v>
      </c>
      <c r="I235" s="1" t="str">
        <f>_xlfn.XLOOKUP(TableFA2132[[#This Row],[Project]],Projects[Project],Projects[Affiliation (Company/University/Place of Work)],"")</f>
        <v>Florida International University</v>
      </c>
      <c r="J235" s="1" t="str">
        <f>_xlfn.XLOOKUP(TableFA2132[[#This Row],[Project]],Projects[Project],Projects[Job Title],"")</f>
        <v>Capstone 2 Student</v>
      </c>
      <c r="K235" s="10">
        <f>COUNTIFS(TableFA2132[Project],TableFA2132[[#This Row],[Project]],TableFA2132[Program],TableFA2132[[#This Row],[Program]])</f>
        <v>5</v>
      </c>
      <c r="L235" s="10">
        <f>COUNTIFS(TableFA2132[Project],TableFA2132[[#This Row],[Project]])</f>
        <v>5</v>
      </c>
      <c r="P235" t="s">
        <v>164</v>
      </c>
      <c r="Q235" t="s">
        <v>164</v>
      </c>
      <c r="R235" t="s">
        <v>163</v>
      </c>
      <c r="S235" t="s">
        <v>163</v>
      </c>
      <c r="T235" t="s">
        <v>74</v>
      </c>
      <c r="U235" t="s">
        <v>74</v>
      </c>
      <c r="V235" t="s">
        <v>74</v>
      </c>
      <c r="W235" t="s">
        <v>74</v>
      </c>
      <c r="X235" s="5" t="s">
        <v>74</v>
      </c>
      <c r="Y235" t="s">
        <v>36</v>
      </c>
      <c r="Z235" t="s">
        <v>74</v>
      </c>
      <c r="AA235" t="s">
        <v>163</v>
      </c>
      <c r="AB235" t="s">
        <v>163</v>
      </c>
      <c r="AC235" t="s">
        <v>74</v>
      </c>
    </row>
    <row r="236" spans="1:29" x14ac:dyDescent="0.2">
      <c r="A236" t="s">
        <v>560</v>
      </c>
      <c r="B236" t="s">
        <v>561</v>
      </c>
      <c r="C236" t="s">
        <v>486</v>
      </c>
      <c r="D236" t="s">
        <v>32</v>
      </c>
      <c r="E236" t="s">
        <v>33</v>
      </c>
      <c r="F236" s="1" t="s">
        <v>555</v>
      </c>
      <c r="G236" s="1" t="str">
        <f>_xlfn.XLOOKUP(TableFA2132[[#This Row],[Project]],Projects[Project],Projects[Full Name],"")</f>
        <v>Felipe Lorenzo</v>
      </c>
      <c r="H236" s="1" t="str">
        <f>_xlfn.XLOOKUP(TableFA2132[[#This Row],[Project]],Projects[Project],Projects[Work Email (no gmail/hotmail/etc.)],"")</f>
        <v>flore016@fiu.edu</v>
      </c>
      <c r="I236" s="1" t="str">
        <f>_xlfn.XLOOKUP(TableFA2132[[#This Row],[Project]],Projects[Project],Projects[Affiliation (Company/University/Place of Work)],"")</f>
        <v>Florida International University</v>
      </c>
      <c r="J236" s="1" t="str">
        <f>_xlfn.XLOOKUP(TableFA2132[[#This Row],[Project]],Projects[Project],Projects[Job Title],"")</f>
        <v>Capstone 2 Student</v>
      </c>
      <c r="K236" s="10">
        <f>COUNTIFS(TableFA2132[Project],TableFA2132[[#This Row],[Project]],TableFA2132[Program],TableFA2132[[#This Row],[Program]])</f>
        <v>5</v>
      </c>
      <c r="L236" s="10">
        <f>COUNTIFS(TableFA2132[Project],TableFA2132[[#This Row],[Project]])</f>
        <v>5</v>
      </c>
      <c r="P236" t="s">
        <v>36</v>
      </c>
      <c r="Q236" t="s">
        <v>36</v>
      </c>
      <c r="R236" t="s">
        <v>36</v>
      </c>
      <c r="S236" t="s">
        <v>36</v>
      </c>
      <c r="T236" t="s">
        <v>36</v>
      </c>
      <c r="U236" t="s">
        <v>36</v>
      </c>
      <c r="V236" t="s">
        <v>36</v>
      </c>
      <c r="W236" t="s">
        <v>36</v>
      </c>
      <c r="X236" s="5" t="s">
        <v>36</v>
      </c>
      <c r="Y236" t="s">
        <v>36</v>
      </c>
      <c r="Z236" t="s">
        <v>36</v>
      </c>
      <c r="AA236" t="s">
        <v>36</v>
      </c>
      <c r="AB236" t="s">
        <v>36</v>
      </c>
      <c r="AC236" t="s">
        <v>36</v>
      </c>
    </row>
    <row r="237" spans="1:29" x14ac:dyDescent="0.2">
      <c r="A237" t="s">
        <v>562</v>
      </c>
      <c r="B237" t="s">
        <v>563</v>
      </c>
      <c r="C237" t="s">
        <v>486</v>
      </c>
      <c r="D237" t="s">
        <v>32</v>
      </c>
      <c r="E237" t="s">
        <v>33</v>
      </c>
      <c r="F237" s="1" t="s">
        <v>555</v>
      </c>
      <c r="G237" s="1" t="str">
        <f>_xlfn.XLOOKUP(TableFA2132[[#This Row],[Project]],Projects[Project],Projects[Full Name],"")</f>
        <v>Felipe Lorenzo</v>
      </c>
      <c r="H237" s="1" t="str">
        <f>_xlfn.XLOOKUP(TableFA2132[[#This Row],[Project]],Projects[Project],Projects[Work Email (no gmail/hotmail/etc.)],"")</f>
        <v>flore016@fiu.edu</v>
      </c>
      <c r="I237" s="1" t="str">
        <f>_xlfn.XLOOKUP(TableFA2132[[#This Row],[Project]],Projects[Project],Projects[Affiliation (Company/University/Place of Work)],"")</f>
        <v>Florida International University</v>
      </c>
      <c r="J237" s="1" t="str">
        <f>_xlfn.XLOOKUP(TableFA2132[[#This Row],[Project]],Projects[Project],Projects[Job Title],"")</f>
        <v>Capstone 2 Student</v>
      </c>
      <c r="K237" s="10">
        <f>COUNTIFS(TableFA2132[Project],TableFA2132[[#This Row],[Project]],TableFA2132[Program],TableFA2132[[#This Row],[Program]])</f>
        <v>5</v>
      </c>
      <c r="L237" s="10">
        <f>COUNTIFS(TableFA2132[Project],TableFA2132[[#This Row],[Project]])</f>
        <v>5</v>
      </c>
      <c r="P237" t="s">
        <v>36</v>
      </c>
      <c r="Q237" t="s">
        <v>36</v>
      </c>
      <c r="R237" t="s">
        <v>36</v>
      </c>
      <c r="S237" t="s">
        <v>36</v>
      </c>
      <c r="T237" t="s">
        <v>36</v>
      </c>
      <c r="U237" t="s">
        <v>36</v>
      </c>
      <c r="V237" t="s">
        <v>74</v>
      </c>
      <c r="W237" t="s">
        <v>74</v>
      </c>
      <c r="X237" s="5" t="s">
        <v>74</v>
      </c>
      <c r="Y237" t="s">
        <v>36</v>
      </c>
      <c r="Z237" t="s">
        <v>36</v>
      </c>
      <c r="AA237" t="s">
        <v>36</v>
      </c>
      <c r="AB237" t="s">
        <v>36</v>
      </c>
      <c r="AC237" t="s">
        <v>36</v>
      </c>
    </row>
    <row r="238" spans="1:29" x14ac:dyDescent="0.2">
      <c r="A238" s="3" t="s">
        <v>564</v>
      </c>
      <c r="B238" s="3" t="s">
        <v>565</v>
      </c>
      <c r="C238" s="3" t="s">
        <v>486</v>
      </c>
      <c r="D238" s="3" t="s">
        <v>32</v>
      </c>
      <c r="E238" t="s">
        <v>33</v>
      </c>
      <c r="F238" s="10" t="s">
        <v>566</v>
      </c>
      <c r="G238" s="10" t="str">
        <f>_xlfn.XLOOKUP(TableFA2132[[#This Row],[Project]],Projects[Project],Projects[Full Name],"")</f>
        <v>Miladys Perez</v>
      </c>
      <c r="H238" s="10" t="str">
        <f>_xlfn.XLOOKUP(TableFA2132[[#This Row],[Project]],Projects[Project],Projects[Work Email (no gmail/hotmail/etc.)],"")</f>
        <v>mpere954@fiu.edu</v>
      </c>
      <c r="I238" s="10" t="str">
        <f>_xlfn.XLOOKUP(TableFA2132[[#This Row],[Project]],Projects[Project],Projects[Affiliation (Company/University/Place of Work)],"")</f>
        <v>Florida International University</v>
      </c>
      <c r="J238" s="10" t="str">
        <f>_xlfn.XLOOKUP(TableFA2132[[#This Row],[Project]],Projects[Project],Projects[Job Title],"")</f>
        <v>Capstone 2 Student</v>
      </c>
      <c r="K238" s="10">
        <f>COUNTIFS(TableFA2132[Project],TableFA2132[[#This Row],[Project]],TableFA2132[Program],TableFA2132[[#This Row],[Program]])</f>
        <v>5</v>
      </c>
      <c r="L238" s="10">
        <f>COUNTIFS(TableFA2132[Project],TableFA2132[[#This Row],[Project]])</f>
        <v>5</v>
      </c>
      <c r="M238" s="3" t="s">
        <v>35</v>
      </c>
      <c r="N238" s="3"/>
      <c r="O238" s="3"/>
      <c r="P238" s="3" t="s">
        <v>36</v>
      </c>
      <c r="Q238" s="3" t="s">
        <v>36</v>
      </c>
      <c r="R238" s="3" t="s">
        <v>36</v>
      </c>
      <c r="S238" s="3" t="s">
        <v>36</v>
      </c>
      <c r="T238" s="3" t="s">
        <v>36</v>
      </c>
      <c r="U238" s="3" t="s">
        <v>36</v>
      </c>
      <c r="V238" t="s">
        <v>36</v>
      </c>
      <c r="W238" s="3" t="s">
        <v>36</v>
      </c>
      <c r="X238" s="3" t="s">
        <v>36</v>
      </c>
      <c r="Y238" s="3" t="s">
        <v>36</v>
      </c>
      <c r="Z238" s="3" t="s">
        <v>36</v>
      </c>
      <c r="AA238" s="3" t="s">
        <v>36</v>
      </c>
      <c r="AB238" s="3" t="s">
        <v>36</v>
      </c>
      <c r="AC238" s="3" t="s">
        <v>36</v>
      </c>
    </row>
    <row r="239" spans="1:29" x14ac:dyDescent="0.2">
      <c r="A239" t="s">
        <v>567</v>
      </c>
      <c r="B239" t="s">
        <v>568</v>
      </c>
      <c r="C239" t="s">
        <v>486</v>
      </c>
      <c r="D239" s="1" t="s">
        <v>110</v>
      </c>
      <c r="E239" t="s">
        <v>33</v>
      </c>
      <c r="F239" t="s">
        <v>566</v>
      </c>
      <c r="G239" s="1" t="str">
        <f>_xlfn.XLOOKUP(TableFA2132[[#This Row],[Project]],Projects[Project],Projects[Full Name],"")</f>
        <v>Miladys Perez</v>
      </c>
      <c r="H239" s="1" t="str">
        <f>_xlfn.XLOOKUP(TableFA2132[[#This Row],[Project]],Projects[Project],Projects[Work Email (no gmail/hotmail/etc.)],"")</f>
        <v>mpere954@fiu.edu</v>
      </c>
      <c r="I239" s="1" t="str">
        <f>_xlfn.XLOOKUP(TableFA2132[[#This Row],[Project]],Projects[Project],Projects[Affiliation (Company/University/Place of Work)],"")</f>
        <v>Florida International University</v>
      </c>
      <c r="J239" s="1" t="str">
        <f>_xlfn.XLOOKUP(TableFA2132[[#This Row],[Project]],Projects[Project],Projects[Job Title],"")</f>
        <v>Capstone 2 Student</v>
      </c>
      <c r="K239" s="10">
        <f>COUNTIFS(TableFA2132[Project],TableFA2132[[#This Row],[Project]],TableFA2132[Program],TableFA2132[[#This Row],[Program]])</f>
        <v>5</v>
      </c>
      <c r="L239" s="10">
        <f>COUNTIFS(TableFA2132[Project],TableFA2132[[#This Row],[Project]])</f>
        <v>5</v>
      </c>
      <c r="P239" t="s">
        <v>36</v>
      </c>
      <c r="Q239" t="s">
        <v>36</v>
      </c>
      <c r="R239" s="3" t="s">
        <v>36</v>
      </c>
      <c r="S239" s="3" t="s">
        <v>36</v>
      </c>
      <c r="T239" s="3" t="s">
        <v>36</v>
      </c>
      <c r="U239" s="3" t="s">
        <v>36</v>
      </c>
      <c r="V239" s="3" t="s">
        <v>36</v>
      </c>
      <c r="W239" s="3" t="s">
        <v>36</v>
      </c>
      <c r="X239" s="3" t="s">
        <v>36</v>
      </c>
      <c r="Y239" s="3" t="s">
        <v>36</v>
      </c>
      <c r="Z239" s="3" t="s">
        <v>36</v>
      </c>
      <c r="AA239" s="3" t="s">
        <v>36</v>
      </c>
      <c r="AB239" s="3" t="s">
        <v>36</v>
      </c>
      <c r="AC239" s="3" t="s">
        <v>36</v>
      </c>
    </row>
    <row r="240" spans="1:29" x14ac:dyDescent="0.2">
      <c r="A240" t="s">
        <v>569</v>
      </c>
      <c r="B240" t="s">
        <v>570</v>
      </c>
      <c r="C240" t="s">
        <v>486</v>
      </c>
      <c r="D240" t="s">
        <v>32</v>
      </c>
      <c r="E240" t="s">
        <v>33</v>
      </c>
      <c r="F240" s="1" t="s">
        <v>566</v>
      </c>
      <c r="G240" s="1" t="str">
        <f>_xlfn.XLOOKUP(TableFA2132[[#This Row],[Project]],Projects[Project],Projects[Full Name],"")</f>
        <v>Miladys Perez</v>
      </c>
      <c r="H240" s="1" t="str">
        <f>_xlfn.XLOOKUP(TableFA2132[[#This Row],[Project]],Projects[Project],Projects[Work Email (no gmail/hotmail/etc.)],"")</f>
        <v>mpere954@fiu.edu</v>
      </c>
      <c r="I240" s="1" t="str">
        <f>_xlfn.XLOOKUP(TableFA2132[[#This Row],[Project]],Projects[Project],Projects[Affiliation (Company/University/Place of Work)],"")</f>
        <v>Florida International University</v>
      </c>
      <c r="J240" s="1" t="str">
        <f>_xlfn.XLOOKUP(TableFA2132[[#This Row],[Project]],Projects[Project],Projects[Job Title],"")</f>
        <v>Capstone 2 Student</v>
      </c>
      <c r="K240" s="10">
        <f>COUNTIFS(TableFA2132[Project],TableFA2132[[#This Row],[Project]],TableFA2132[Program],TableFA2132[[#This Row],[Program]])</f>
        <v>5</v>
      </c>
      <c r="L240" s="10">
        <f>COUNTIFS(TableFA2132[Project],TableFA2132[[#This Row],[Project]])</f>
        <v>5</v>
      </c>
      <c r="P240" t="s">
        <v>36</v>
      </c>
      <c r="Q240" t="s">
        <v>36</v>
      </c>
      <c r="R240" s="3" t="s">
        <v>36</v>
      </c>
      <c r="S240" s="3" t="s">
        <v>36</v>
      </c>
      <c r="T240" s="3" t="s">
        <v>36</v>
      </c>
      <c r="U240" s="3" t="s">
        <v>36</v>
      </c>
      <c r="V240" s="3" t="s">
        <v>36</v>
      </c>
      <c r="W240" s="3" t="s">
        <v>36</v>
      </c>
      <c r="X240" s="3" t="s">
        <v>36</v>
      </c>
      <c r="Y240" s="3" t="s">
        <v>36</v>
      </c>
      <c r="Z240" s="3" t="s">
        <v>36</v>
      </c>
      <c r="AA240" s="3" t="s">
        <v>36</v>
      </c>
      <c r="AB240" s="3" t="s">
        <v>36</v>
      </c>
      <c r="AC240" s="3" t="s">
        <v>36</v>
      </c>
    </row>
    <row r="241" spans="1:33" x14ac:dyDescent="0.2">
      <c r="A241" t="s">
        <v>571</v>
      </c>
      <c r="B241" t="s">
        <v>572</v>
      </c>
      <c r="C241" t="s">
        <v>486</v>
      </c>
      <c r="D241" t="s">
        <v>32</v>
      </c>
      <c r="E241" t="s">
        <v>33</v>
      </c>
      <c r="F241" s="1" t="s">
        <v>566</v>
      </c>
      <c r="G241" s="1" t="str">
        <f>_xlfn.XLOOKUP(TableFA2132[[#This Row],[Project]],Projects[Project],Projects[Full Name],"")</f>
        <v>Miladys Perez</v>
      </c>
      <c r="H241" s="1" t="str">
        <f>_xlfn.XLOOKUP(TableFA2132[[#This Row],[Project]],Projects[Project],Projects[Work Email (no gmail/hotmail/etc.)],"")</f>
        <v>mpere954@fiu.edu</v>
      </c>
      <c r="I241" s="1" t="str">
        <f>_xlfn.XLOOKUP(TableFA2132[[#This Row],[Project]],Projects[Project],Projects[Affiliation (Company/University/Place of Work)],"")</f>
        <v>Florida International University</v>
      </c>
      <c r="J241" s="1" t="str">
        <f>_xlfn.XLOOKUP(TableFA2132[[#This Row],[Project]],Projects[Project],Projects[Job Title],"")</f>
        <v>Capstone 2 Student</v>
      </c>
      <c r="K241" s="10">
        <f>COUNTIFS(TableFA2132[Project],TableFA2132[[#This Row],[Project]],TableFA2132[Program],TableFA2132[[#This Row],[Program]])</f>
        <v>5</v>
      </c>
      <c r="L241" s="10">
        <f>COUNTIFS(TableFA2132[Project],TableFA2132[[#This Row],[Project]])</f>
        <v>5</v>
      </c>
      <c r="P241" t="s">
        <v>36</v>
      </c>
      <c r="Q241" t="s">
        <v>36</v>
      </c>
      <c r="R241" s="3" t="s">
        <v>36</v>
      </c>
      <c r="S241" s="3" t="s">
        <v>36</v>
      </c>
      <c r="T241" s="3" t="s">
        <v>36</v>
      </c>
      <c r="U241" s="3" t="s">
        <v>36</v>
      </c>
      <c r="V241" s="3" t="s">
        <v>36</v>
      </c>
      <c r="W241" s="3" t="s">
        <v>36</v>
      </c>
      <c r="X241" s="3" t="s">
        <v>36</v>
      </c>
      <c r="Y241" s="3" t="s">
        <v>36</v>
      </c>
      <c r="Z241" s="3" t="s">
        <v>36</v>
      </c>
      <c r="AA241" s="3" t="s">
        <v>36</v>
      </c>
      <c r="AB241" s="3" t="s">
        <v>36</v>
      </c>
      <c r="AC241" s="3" t="s">
        <v>36</v>
      </c>
    </row>
    <row r="242" spans="1:33" x14ac:dyDescent="0.2">
      <c r="A242" t="s">
        <v>573</v>
      </c>
      <c r="B242" t="s">
        <v>574</v>
      </c>
      <c r="C242" t="s">
        <v>486</v>
      </c>
      <c r="D242" t="s">
        <v>32</v>
      </c>
      <c r="E242" t="s">
        <v>33</v>
      </c>
      <c r="F242" s="1" t="s">
        <v>566</v>
      </c>
      <c r="G242" s="1" t="str">
        <f>_xlfn.XLOOKUP(TableFA2132[[#This Row],[Project]],Projects[Project],Projects[Full Name],"")</f>
        <v>Miladys Perez</v>
      </c>
      <c r="H242" s="1" t="str">
        <f>_xlfn.XLOOKUP(TableFA2132[[#This Row],[Project]],Projects[Project],Projects[Work Email (no gmail/hotmail/etc.)],"")</f>
        <v>mpere954@fiu.edu</v>
      </c>
      <c r="I242" s="1" t="str">
        <f>_xlfn.XLOOKUP(TableFA2132[[#This Row],[Project]],Projects[Project],Projects[Affiliation (Company/University/Place of Work)],"")</f>
        <v>Florida International University</v>
      </c>
      <c r="J242" s="1" t="str">
        <f>_xlfn.XLOOKUP(TableFA2132[[#This Row],[Project]],Projects[Project],Projects[Job Title],"")</f>
        <v>Capstone 2 Student</v>
      </c>
      <c r="K242" s="10">
        <f>COUNTIFS(TableFA2132[Project],TableFA2132[[#This Row],[Project]],TableFA2132[Program],TableFA2132[[#This Row],[Program]])</f>
        <v>5</v>
      </c>
      <c r="L242" s="10">
        <f>COUNTIFS(TableFA2132[Project],TableFA2132[[#This Row],[Project]])</f>
        <v>5</v>
      </c>
      <c r="P242" t="s">
        <v>36</v>
      </c>
      <c r="Q242" t="s">
        <v>36</v>
      </c>
      <c r="R242" s="3" t="s">
        <v>36</v>
      </c>
      <c r="S242" s="3" t="s">
        <v>36</v>
      </c>
      <c r="T242" s="3" t="s">
        <v>36</v>
      </c>
      <c r="U242" s="3" t="s">
        <v>36</v>
      </c>
      <c r="V242" s="3" t="s">
        <v>36</v>
      </c>
      <c r="W242" s="3" t="s">
        <v>36</v>
      </c>
      <c r="X242" s="3" t="s">
        <v>36</v>
      </c>
      <c r="Y242" s="3" t="s">
        <v>36</v>
      </c>
      <c r="Z242" s="3" t="s">
        <v>36</v>
      </c>
      <c r="AA242" s="3" t="s">
        <v>36</v>
      </c>
      <c r="AB242" s="3" t="s">
        <v>36</v>
      </c>
      <c r="AC242" s="3" t="s">
        <v>36</v>
      </c>
    </row>
    <row r="243" spans="1:33" x14ac:dyDescent="0.2">
      <c r="A243" t="s">
        <v>582</v>
      </c>
      <c r="B243" t="s">
        <v>583</v>
      </c>
      <c r="C243" t="s">
        <v>486</v>
      </c>
      <c r="D243" t="s">
        <v>110</v>
      </c>
      <c r="E243" t="s">
        <v>33</v>
      </c>
      <c r="F243" s="1" t="s">
        <v>577</v>
      </c>
      <c r="G243" s="1" t="str">
        <f>_xlfn.XLOOKUP(TableFA2132[[#This Row],[Project]],Projects[Project],Projects[Full Name],"")</f>
        <v>Christian Pereira</v>
      </c>
      <c r="H243" s="1" t="str">
        <f>_xlfn.XLOOKUP(TableFA2132[[#This Row],[Project]],Projects[Project],Projects[Work Email (no gmail/hotmail/etc.)],"")</f>
        <v>cpere583@fiu.edu</v>
      </c>
      <c r="I243" s="1" t="str">
        <f>_xlfn.XLOOKUP(TableFA2132[[#This Row],[Project]],Projects[Project],Projects[Affiliation (Company/University/Place of Work)],"")</f>
        <v>Florida International University</v>
      </c>
      <c r="J243" s="1" t="str">
        <f>_xlfn.XLOOKUP(TableFA2132[[#This Row],[Project]],Projects[Project],Projects[Job Title],"")</f>
        <v>Capstone 2 Student</v>
      </c>
      <c r="K243" s="10">
        <f>COUNTIFS(TableFA2132[Project],TableFA2132[[#This Row],[Project]],TableFA2132[Program],TableFA2132[[#This Row],[Program]])</f>
        <v>5</v>
      </c>
      <c r="L243" s="10">
        <f>COUNTIFS(TableFA2132[Project],TableFA2132[[#This Row],[Project]])</f>
        <v>5</v>
      </c>
      <c r="M243" s="3" t="s">
        <v>35</v>
      </c>
      <c r="P243" t="s">
        <v>36</v>
      </c>
      <c r="Q243" t="s">
        <v>36</v>
      </c>
      <c r="R243" t="s">
        <v>36</v>
      </c>
      <c r="S243" t="s">
        <v>36</v>
      </c>
      <c r="T243" t="s">
        <v>36</v>
      </c>
      <c r="U243" t="s">
        <v>36</v>
      </c>
      <c r="V243" t="s">
        <v>36</v>
      </c>
      <c r="W243" t="s">
        <v>36</v>
      </c>
      <c r="X243" t="s">
        <v>36</v>
      </c>
      <c r="Y243" t="s">
        <v>36</v>
      </c>
      <c r="Z243" t="s">
        <v>36</v>
      </c>
      <c r="AA243" t="s">
        <v>36</v>
      </c>
      <c r="AB243" t="s">
        <v>36</v>
      </c>
      <c r="AC243" t="s">
        <v>36</v>
      </c>
    </row>
    <row r="244" spans="1:33" x14ac:dyDescent="0.2">
      <c r="A244" t="s">
        <v>575</v>
      </c>
      <c r="B244" t="s">
        <v>576</v>
      </c>
      <c r="C244" t="s">
        <v>486</v>
      </c>
      <c r="D244" t="s">
        <v>110</v>
      </c>
      <c r="E244" t="s">
        <v>33</v>
      </c>
      <c r="F244" s="1" t="s">
        <v>577</v>
      </c>
      <c r="G244" s="1" t="str">
        <f>_xlfn.XLOOKUP(TableFA2132[[#This Row],[Project]],Projects[Project],Projects[Full Name],"")</f>
        <v>Christian Pereira</v>
      </c>
      <c r="H244" s="1" t="str">
        <f>_xlfn.XLOOKUP(TableFA2132[[#This Row],[Project]],Projects[Project],Projects[Work Email (no gmail/hotmail/etc.)],"")</f>
        <v>cpere583@fiu.edu</v>
      </c>
      <c r="I244" s="1" t="str">
        <f>_xlfn.XLOOKUP(TableFA2132[[#This Row],[Project]],Projects[Project],Projects[Affiliation (Company/University/Place of Work)],"")</f>
        <v>Florida International University</v>
      </c>
      <c r="J244" s="1" t="str">
        <f>_xlfn.XLOOKUP(TableFA2132[[#This Row],[Project]],Projects[Project],Projects[Job Title],"")</f>
        <v>Capstone 2 Student</v>
      </c>
      <c r="K244" s="10">
        <f>COUNTIFS(TableFA2132[Project],TableFA2132[[#This Row],[Project]],TableFA2132[Program],TableFA2132[[#This Row],[Program]])</f>
        <v>5</v>
      </c>
      <c r="L244" s="10">
        <f>COUNTIFS(TableFA2132[Project],TableFA2132[[#This Row],[Project]])</f>
        <v>5</v>
      </c>
      <c r="P244" t="s">
        <v>36</v>
      </c>
      <c r="Q244" t="s">
        <v>36</v>
      </c>
      <c r="R244" t="s">
        <v>36</v>
      </c>
      <c r="S244" t="s">
        <v>36</v>
      </c>
      <c r="T244" t="s">
        <v>36</v>
      </c>
      <c r="U244" t="s">
        <v>36</v>
      </c>
      <c r="V244" t="s">
        <v>36</v>
      </c>
      <c r="W244" t="s">
        <v>36</v>
      </c>
      <c r="X244" t="s">
        <v>36</v>
      </c>
      <c r="Y244" t="s">
        <v>36</v>
      </c>
      <c r="Z244" t="s">
        <v>36</v>
      </c>
      <c r="AA244" t="s">
        <v>36</v>
      </c>
      <c r="AB244" t="s">
        <v>36</v>
      </c>
      <c r="AC244" t="s">
        <v>36</v>
      </c>
    </row>
    <row r="245" spans="1:33" x14ac:dyDescent="0.2">
      <c r="A245" t="s">
        <v>578</v>
      </c>
      <c r="B245" t="s">
        <v>579</v>
      </c>
      <c r="C245" t="s">
        <v>486</v>
      </c>
      <c r="D245" t="s">
        <v>110</v>
      </c>
      <c r="E245" t="s">
        <v>33</v>
      </c>
      <c r="F245" s="1" t="s">
        <v>577</v>
      </c>
      <c r="G245" s="1" t="str">
        <f>_xlfn.XLOOKUP(TableFA2132[[#This Row],[Project]],Projects[Project],Projects[Full Name],"")</f>
        <v>Christian Pereira</v>
      </c>
      <c r="H245" s="1" t="str">
        <f>_xlfn.XLOOKUP(TableFA2132[[#This Row],[Project]],Projects[Project],Projects[Work Email (no gmail/hotmail/etc.)],"")</f>
        <v>cpere583@fiu.edu</v>
      </c>
      <c r="I245" s="1" t="str">
        <f>_xlfn.XLOOKUP(TableFA2132[[#This Row],[Project]],Projects[Project],Projects[Affiliation (Company/University/Place of Work)],"")</f>
        <v>Florida International University</v>
      </c>
      <c r="J245" s="1" t="str">
        <f>_xlfn.XLOOKUP(TableFA2132[[#This Row],[Project]],Projects[Project],Projects[Job Title],"")</f>
        <v>Capstone 2 Student</v>
      </c>
      <c r="K245" s="10">
        <f>COUNTIFS(TableFA2132[Project],TableFA2132[[#This Row],[Project]],TableFA2132[Program],TableFA2132[[#This Row],[Program]])</f>
        <v>5</v>
      </c>
      <c r="L245" s="10">
        <f>COUNTIFS(TableFA2132[Project],TableFA2132[[#This Row],[Project]])</f>
        <v>5</v>
      </c>
      <c r="P245" t="s">
        <v>36</v>
      </c>
      <c r="Q245" t="s">
        <v>36</v>
      </c>
      <c r="R245" t="s">
        <v>36</v>
      </c>
      <c r="S245" t="s">
        <v>36</v>
      </c>
      <c r="T245" t="s">
        <v>36</v>
      </c>
      <c r="U245" t="s">
        <v>36</v>
      </c>
      <c r="V245" t="s">
        <v>36</v>
      </c>
      <c r="W245" t="s">
        <v>36</v>
      </c>
      <c r="X245" t="s">
        <v>36</v>
      </c>
      <c r="Y245" t="s">
        <v>36</v>
      </c>
      <c r="Z245" t="s">
        <v>36</v>
      </c>
      <c r="AA245" t="s">
        <v>36</v>
      </c>
      <c r="AB245" t="s">
        <v>36</v>
      </c>
      <c r="AC245" t="s">
        <v>36</v>
      </c>
    </row>
    <row r="246" spans="1:33" x14ac:dyDescent="0.2">
      <c r="A246" t="s">
        <v>580</v>
      </c>
      <c r="B246" t="s">
        <v>581</v>
      </c>
      <c r="C246" t="s">
        <v>486</v>
      </c>
      <c r="D246" t="s">
        <v>110</v>
      </c>
      <c r="E246" t="s">
        <v>33</v>
      </c>
      <c r="F246" s="1" t="s">
        <v>577</v>
      </c>
      <c r="G246" s="1" t="str">
        <f>_xlfn.XLOOKUP(TableFA2132[[#This Row],[Project]],Projects[Project],Projects[Full Name],"")</f>
        <v>Christian Pereira</v>
      </c>
      <c r="H246" s="1" t="str">
        <f>_xlfn.XLOOKUP(TableFA2132[[#This Row],[Project]],Projects[Project],Projects[Work Email (no gmail/hotmail/etc.)],"")</f>
        <v>cpere583@fiu.edu</v>
      </c>
      <c r="I246" s="1" t="str">
        <f>_xlfn.XLOOKUP(TableFA2132[[#This Row],[Project]],Projects[Project],Projects[Affiliation (Company/University/Place of Work)],"")</f>
        <v>Florida International University</v>
      </c>
      <c r="J246" s="1" t="str">
        <f>_xlfn.XLOOKUP(TableFA2132[[#This Row],[Project]],Projects[Project],Projects[Job Title],"")</f>
        <v>Capstone 2 Student</v>
      </c>
      <c r="K246" s="10">
        <f>COUNTIFS(TableFA2132[Project],TableFA2132[[#This Row],[Project]],TableFA2132[Program],TableFA2132[[#This Row],[Program]])</f>
        <v>5</v>
      </c>
      <c r="L246" s="10">
        <f>COUNTIFS(TableFA2132[Project],TableFA2132[[#This Row],[Project]])</f>
        <v>5</v>
      </c>
      <c r="P246" t="s">
        <v>36</v>
      </c>
      <c r="Q246" t="s">
        <v>36</v>
      </c>
      <c r="R246" t="s">
        <v>36</v>
      </c>
      <c r="S246" t="s">
        <v>36</v>
      </c>
      <c r="T246" t="s">
        <v>36</v>
      </c>
      <c r="U246" t="s">
        <v>36</v>
      </c>
      <c r="V246" t="s">
        <v>36</v>
      </c>
      <c r="W246" t="s">
        <v>36</v>
      </c>
      <c r="X246" t="s">
        <v>36</v>
      </c>
      <c r="Y246" t="s">
        <v>36</v>
      </c>
      <c r="Z246" t="s">
        <v>36</v>
      </c>
      <c r="AA246" t="s">
        <v>36</v>
      </c>
      <c r="AB246" t="s">
        <v>36</v>
      </c>
      <c r="AC246" t="s">
        <v>36</v>
      </c>
    </row>
    <row r="247" spans="1:33" x14ac:dyDescent="0.2">
      <c r="A247" t="s">
        <v>584</v>
      </c>
      <c r="B247" t="s">
        <v>585</v>
      </c>
      <c r="C247" t="s">
        <v>486</v>
      </c>
      <c r="D247" t="s">
        <v>110</v>
      </c>
      <c r="E247" t="s">
        <v>33</v>
      </c>
      <c r="F247" s="1" t="s">
        <v>577</v>
      </c>
      <c r="G247" s="1" t="str">
        <f>_xlfn.XLOOKUP(TableFA2132[[#This Row],[Project]],Projects[Project],Projects[Full Name],"")</f>
        <v>Christian Pereira</v>
      </c>
      <c r="H247" s="1" t="str">
        <f>_xlfn.XLOOKUP(TableFA2132[[#This Row],[Project]],Projects[Project],Projects[Work Email (no gmail/hotmail/etc.)],"")</f>
        <v>cpere583@fiu.edu</v>
      </c>
      <c r="I247" s="1" t="str">
        <f>_xlfn.XLOOKUP(TableFA2132[[#This Row],[Project]],Projects[Project],Projects[Affiliation (Company/University/Place of Work)],"")</f>
        <v>Florida International University</v>
      </c>
      <c r="J247" s="1" t="str">
        <f>_xlfn.XLOOKUP(TableFA2132[[#This Row],[Project]],Projects[Project],Projects[Job Title],"")</f>
        <v>Capstone 2 Student</v>
      </c>
      <c r="K247" s="10">
        <f>COUNTIFS(TableFA2132[Project],TableFA2132[[#This Row],[Project]],TableFA2132[Program],TableFA2132[[#This Row],[Program]])</f>
        <v>5</v>
      </c>
      <c r="L247" s="10">
        <f>COUNTIFS(TableFA2132[Project],TableFA2132[[#This Row],[Project]])</f>
        <v>5</v>
      </c>
      <c r="P247" t="s">
        <v>36</v>
      </c>
      <c r="Q247" t="s">
        <v>36</v>
      </c>
      <c r="R247" t="s">
        <v>36</v>
      </c>
      <c r="S247" t="s">
        <v>36</v>
      </c>
      <c r="T247" t="s">
        <v>36</v>
      </c>
      <c r="U247" t="s">
        <v>36</v>
      </c>
      <c r="V247" t="s">
        <v>36</v>
      </c>
      <c r="W247" t="s">
        <v>36</v>
      </c>
      <c r="X247" t="s">
        <v>36</v>
      </c>
      <c r="Y247" t="s">
        <v>36</v>
      </c>
      <c r="Z247" t="s">
        <v>36</v>
      </c>
      <c r="AA247" t="s">
        <v>36</v>
      </c>
      <c r="AB247" t="s">
        <v>36</v>
      </c>
      <c r="AC247" t="s">
        <v>36</v>
      </c>
    </row>
    <row r="248" spans="1:33" x14ac:dyDescent="0.2">
      <c r="A248" s="3" t="s">
        <v>586</v>
      </c>
      <c r="B248" s="3" t="s">
        <v>587</v>
      </c>
      <c r="C248" s="3" t="s">
        <v>486</v>
      </c>
      <c r="D248" s="3" t="s">
        <v>32</v>
      </c>
      <c r="E248" t="s">
        <v>33</v>
      </c>
      <c r="F248" s="10" t="s">
        <v>588</v>
      </c>
      <c r="G248" s="10" t="str">
        <f>_xlfn.XLOOKUP(TableFA2132[[#This Row],[Project]],Projects[Project],Projects[Full Name],"")</f>
        <v>Jonathan Powell</v>
      </c>
      <c r="H248" s="10" t="str">
        <f>_xlfn.XLOOKUP(TableFA2132[[#This Row],[Project]],Projects[Project],Projects[Work Email (no gmail/hotmail/etc.)],"")</f>
        <v>jpowe007@fiu.edu</v>
      </c>
      <c r="I248" s="10" t="str">
        <f>_xlfn.XLOOKUP(TableFA2132[[#This Row],[Project]],Projects[Project],Projects[Affiliation (Company/University/Place of Work)],"")</f>
        <v>Florida International University</v>
      </c>
      <c r="J248" s="10" t="str">
        <f>_xlfn.XLOOKUP(TableFA2132[[#This Row],[Project]],Projects[Project],Projects[Job Title],"")</f>
        <v>Capstone 2 Student</v>
      </c>
      <c r="K248" s="10">
        <f>COUNTIFS(TableFA2132[Project],TableFA2132[[#This Row],[Project]],TableFA2132[Program],TableFA2132[[#This Row],[Program]])</f>
        <v>3</v>
      </c>
      <c r="L248" s="10">
        <f>COUNTIFS(TableFA2132[Project],TableFA2132[[#This Row],[Project]])</f>
        <v>3</v>
      </c>
      <c r="M248" s="3" t="s">
        <v>35</v>
      </c>
      <c r="N248" s="3"/>
      <c r="O248" s="3"/>
      <c r="P248" s="3" t="s">
        <v>36</v>
      </c>
      <c r="Q248" s="3" t="s">
        <v>36</v>
      </c>
      <c r="R248" s="3" t="s">
        <v>36</v>
      </c>
      <c r="S248" s="3" t="s">
        <v>36</v>
      </c>
      <c r="T248" s="3" t="s">
        <v>36</v>
      </c>
      <c r="U248" s="3" t="s">
        <v>36</v>
      </c>
      <c r="V248" s="3" t="s">
        <v>36</v>
      </c>
      <c r="W248" s="3" t="s">
        <v>36</v>
      </c>
      <c r="X248" s="21" t="s">
        <v>36</v>
      </c>
      <c r="Y248" s="3" t="s">
        <v>36</v>
      </c>
      <c r="Z248" s="3" t="s">
        <v>36</v>
      </c>
      <c r="AA248" s="3" t="s">
        <v>36</v>
      </c>
      <c r="AB248" s="3" t="s">
        <v>36</v>
      </c>
      <c r="AC248" s="3" t="s">
        <v>36</v>
      </c>
    </row>
    <row r="249" spans="1:33" x14ac:dyDescent="0.2">
      <c r="A249" t="s">
        <v>589</v>
      </c>
      <c r="B249" t="s">
        <v>590</v>
      </c>
      <c r="C249" t="s">
        <v>486</v>
      </c>
      <c r="D249" t="s">
        <v>32</v>
      </c>
      <c r="E249" t="s">
        <v>33</v>
      </c>
      <c r="F249" s="1" t="s">
        <v>588</v>
      </c>
      <c r="G249" s="1" t="str">
        <f>_xlfn.XLOOKUP(TableFA2132[[#This Row],[Project]],Projects[Project],Projects[Full Name],"")</f>
        <v>Jonathan Powell</v>
      </c>
      <c r="H249" s="1" t="str">
        <f>_xlfn.XLOOKUP(TableFA2132[[#This Row],[Project]],Projects[Project],Projects[Work Email (no gmail/hotmail/etc.)],"")</f>
        <v>jpowe007@fiu.edu</v>
      </c>
      <c r="I249" s="1" t="str">
        <f>_xlfn.XLOOKUP(TableFA2132[[#This Row],[Project]],Projects[Project],Projects[Affiliation (Company/University/Place of Work)],"")</f>
        <v>Florida International University</v>
      </c>
      <c r="J249" s="1" t="str">
        <f>_xlfn.XLOOKUP(TableFA2132[[#This Row],[Project]],Projects[Project],Projects[Job Title],"")</f>
        <v>Capstone 2 Student</v>
      </c>
      <c r="K249" s="10">
        <f>COUNTIFS(TableFA2132[Project],TableFA2132[[#This Row],[Project]],TableFA2132[Program],TableFA2132[[#This Row],[Program]])</f>
        <v>3</v>
      </c>
      <c r="L249" s="10">
        <f>COUNTIFS(TableFA2132[Project],TableFA2132[[#This Row],[Project]])</f>
        <v>3</v>
      </c>
      <c r="P249" t="s">
        <v>36</v>
      </c>
      <c r="Q249" t="s">
        <v>36</v>
      </c>
      <c r="R249" t="s">
        <v>36</v>
      </c>
      <c r="S249" t="s">
        <v>36</v>
      </c>
      <c r="T249" t="s">
        <v>36</v>
      </c>
      <c r="U249" t="s">
        <v>36</v>
      </c>
      <c r="V249" t="s">
        <v>36</v>
      </c>
      <c r="W249" t="s">
        <v>36</v>
      </c>
      <c r="X249" s="5" t="s">
        <v>36</v>
      </c>
      <c r="Y249" t="s">
        <v>36</v>
      </c>
      <c r="Z249" t="s">
        <v>36</v>
      </c>
      <c r="AA249" t="s">
        <v>36</v>
      </c>
      <c r="AB249" t="s">
        <v>36</v>
      </c>
      <c r="AC249" t="s">
        <v>36</v>
      </c>
    </row>
    <row r="250" spans="1:33" x14ac:dyDescent="0.2">
      <c r="A250" t="s">
        <v>591</v>
      </c>
      <c r="B250" t="s">
        <v>592</v>
      </c>
      <c r="C250" t="s">
        <v>486</v>
      </c>
      <c r="D250" t="s">
        <v>110</v>
      </c>
      <c r="E250" t="s">
        <v>33</v>
      </c>
      <c r="F250" s="1" t="s">
        <v>588</v>
      </c>
      <c r="G250" s="1" t="str">
        <f>_xlfn.XLOOKUP(TableFA2132[[#This Row],[Project]],Projects[Project],Projects[Full Name],"")</f>
        <v>Jonathan Powell</v>
      </c>
      <c r="H250" s="1" t="str">
        <f>_xlfn.XLOOKUP(TableFA2132[[#This Row],[Project]],Projects[Project],Projects[Work Email (no gmail/hotmail/etc.)],"")</f>
        <v>jpowe007@fiu.edu</v>
      </c>
      <c r="I250" s="1" t="str">
        <f>_xlfn.XLOOKUP(TableFA2132[[#This Row],[Project]],Projects[Project],Projects[Affiliation (Company/University/Place of Work)],"")</f>
        <v>Florida International University</v>
      </c>
      <c r="J250" s="1" t="str">
        <f>_xlfn.XLOOKUP(TableFA2132[[#This Row],[Project]],Projects[Project],Projects[Job Title],"")</f>
        <v>Capstone 2 Student</v>
      </c>
      <c r="K250" s="10">
        <f>COUNTIFS(TableFA2132[Project],TableFA2132[[#This Row],[Project]],TableFA2132[Program],TableFA2132[[#This Row],[Program]])</f>
        <v>3</v>
      </c>
      <c r="L250" s="10">
        <f>COUNTIFS(TableFA2132[Project],TableFA2132[[#This Row],[Project]])</f>
        <v>3</v>
      </c>
      <c r="P250" t="s">
        <v>36</v>
      </c>
      <c r="Q250" t="s">
        <v>36</v>
      </c>
      <c r="R250" t="s">
        <v>36</v>
      </c>
      <c r="S250" t="s">
        <v>36</v>
      </c>
      <c r="T250" t="s">
        <v>36</v>
      </c>
      <c r="U250" t="s">
        <v>36</v>
      </c>
      <c r="V250" t="s">
        <v>36</v>
      </c>
      <c r="W250" t="s">
        <v>36</v>
      </c>
      <c r="X250" s="5" t="s">
        <v>36</v>
      </c>
      <c r="Y250" t="s">
        <v>36</v>
      </c>
      <c r="Z250" t="s">
        <v>36</v>
      </c>
      <c r="AA250" t="s">
        <v>36</v>
      </c>
      <c r="AB250" t="s">
        <v>36</v>
      </c>
      <c r="AC250" t="s">
        <v>36</v>
      </c>
    </row>
    <row r="252" spans="1:33" x14ac:dyDescent="0.2">
      <c r="AF252" s="3"/>
      <c r="AG252" s="3"/>
    </row>
    <row r="257" spans="29:33" x14ac:dyDescent="0.2">
      <c r="AG257" s="3"/>
    </row>
    <row r="258" spans="29:33" x14ac:dyDescent="0.2">
      <c r="AG258" s="3"/>
    </row>
    <row r="260" spans="29:33" x14ac:dyDescent="0.2">
      <c r="AG260" s="3"/>
    </row>
    <row r="261" spans="29:33" x14ac:dyDescent="0.2">
      <c r="AG261" s="3"/>
    </row>
    <row r="262" spans="29:33" x14ac:dyDescent="0.2">
      <c r="AC262" s="2"/>
    </row>
    <row r="263" spans="29:33" x14ac:dyDescent="0.2">
      <c r="AD263" s="2"/>
    </row>
    <row r="264" spans="29:33" x14ac:dyDescent="0.2">
      <c r="AE264" s="2"/>
    </row>
    <row r="265" spans="29:33" x14ac:dyDescent="0.2">
      <c r="AF265" s="2"/>
    </row>
    <row r="274" spans="29:33" x14ac:dyDescent="0.2">
      <c r="AG274" s="2"/>
    </row>
    <row r="281" spans="29:33" x14ac:dyDescent="0.2">
      <c r="AC281" s="6"/>
    </row>
    <row r="282" spans="29:33" x14ac:dyDescent="0.2">
      <c r="AC282" s="2"/>
      <c r="AD282" s="6"/>
    </row>
    <row r="283" spans="29:33" x14ac:dyDescent="0.2">
      <c r="AD283" s="2"/>
      <c r="AE283" s="6"/>
    </row>
    <row r="284" spans="29:33" x14ac:dyDescent="0.2">
      <c r="AE284" s="2"/>
      <c r="AF284" s="6"/>
    </row>
    <row r="285" spans="29:33" x14ac:dyDescent="0.2">
      <c r="AF285" s="2"/>
    </row>
    <row r="293" spans="29:33" x14ac:dyDescent="0.2">
      <c r="AG293" s="6"/>
    </row>
    <row r="294" spans="29:33" x14ac:dyDescent="0.2">
      <c r="AG294" s="2"/>
    </row>
    <row r="300" spans="29:33" x14ac:dyDescent="0.2">
      <c r="AC300" s="3"/>
    </row>
    <row r="301" spans="29:33" x14ac:dyDescent="0.2">
      <c r="AD301" s="3"/>
    </row>
    <row r="302" spans="29:33" x14ac:dyDescent="0.2">
      <c r="AE302" s="3"/>
    </row>
    <row r="303" spans="29:33" x14ac:dyDescent="0.2">
      <c r="AF303" s="3"/>
    </row>
    <row r="312" spans="33:33" x14ac:dyDescent="0.2">
      <c r="AG312" s="3"/>
    </row>
  </sheetData>
  <sheetProtection formatCells="0"/>
  <protectedRanges>
    <protectedRange sqref="F1:J1 B244:B249 C238:C243 D250 E2:E250 G251:G1048576" name="Range1"/>
    <protectedRange sqref="O1:AB1 O2 M1:N2 M238:W242 M144:M159 J251:AA1048576 I262:I1048576 M248:V249 M250:X250 M160:O237 I251:I257 N64:O159 K2:L250 N63 F240:F248 F250 M3:M142 N3:O62 M243:O247" name="Range2"/>
    <protectedRange sqref="P110 R110 Q109 P111:R115 U7:V9 U10 U11:V21 P7:T21 V185:V191 V177:V183 W177:AB191 P62:AB65 X114:X115 W41 S42:W45 S46:AB50 P27:Q61 R57:AB61 R27:R50 S36:V41 P177:U191 W7:AB21 P22:AC26 T157:AA161 X41:AC45 P2:AB6 P243:AC247 W36:AC40 S27:AA35 AB32:AB35 AC167:AC176 P66:R108 P116:AB156 AC138:AC144 S82:W115 AC95:AC97 X82:X112 Y82:AB115 AC201:AC205 AC157:AC161 P162:AB176 AC192:AC196 AC2:AC11 AC116:AC120 AB27:AC30 AC233:AC237 S66:AB81 R51:Y56 AA51:AC56 P192:AA237 AB192:AB224 AB226:AB237 AB225:AC225 AC226:AC228 AC216:AC219 AC101:AC105 AC57:AC84" name="Range2_1"/>
    <protectedRange sqref="P157:S161 AB157:AB161" name="Range2_1_1"/>
    <protectedRange sqref="Z51:Z56" name="Range2_1_2"/>
  </protectedRanges>
  <phoneticPr fontId="5" type="noConversion"/>
  <conditionalFormatting sqref="K2:L250">
    <cfRule type="cellIs" dxfId="81" priority="199" operator="between">
      <formula>3</formula>
      <formula>5</formula>
    </cfRule>
    <cfRule type="cellIs" dxfId="80" priority="198" operator="between">
      <formula>1</formula>
      <formula>2</formula>
    </cfRule>
    <cfRule type="cellIs" dxfId="79" priority="197" operator="greaterThan">
      <formula>5</formula>
    </cfRule>
  </conditionalFormatting>
  <conditionalFormatting sqref="L238:V238 L239:Q242 L243:W243 K244:V249 N2:AB21 N22:AC30 N31:AA31 N32:AB50 N51:Y56 N57:AB62 N63 P63:AB63 N64:AB108 AC101:AC105 Q108:Q109 N109:P109 S109:AB109 N110:AB112 N113:W113 Y113:AB113 N114:AB156 AC138:AC144 N157:O161 T157:AA161 N162:AB183 AC167:AC176 N184:U184 W184:AB184 N185:AB237 AC216:AC219 N243:AB250 M250:X250 P251:AA1048576">
    <cfRule type="containsText" dxfId="78" priority="200" operator="containsText" text="Highly Active">
      <formula>NOT(ISERROR(SEARCH("Highly Active",K2)))</formula>
    </cfRule>
  </conditionalFormatting>
  <conditionalFormatting sqref="N2:AB21 N22:AC30 N31:AA31 N32:AB50 N51:Y56 N57:AB62 N63 P63:AB63 N64:AB108 AC101:AC105 Q108:Q109 N109:P109 S109:AB109 N110:AB112 N113:W113 Y113:AB113 N114:AB156 AC138:AC144 N157:O161 T157:AA161 N162:AB183 AC167:AC176 N184:U184 W184:AB184 N185:AB237 AC216:AC219 L238:V238 L239:Q242 L243:W243 N243:AB250 K244:V249 M250:X250 P251:AA1048576">
    <cfRule type="containsText" dxfId="77" priority="203" operator="containsText" text="Somewhat Active">
      <formula>NOT(ISERROR(SEARCH("Somewhat Active",K2)))</formula>
    </cfRule>
    <cfRule type="containsText" dxfId="76" priority="202" operator="containsText" text="Mostly Inactive">
      <formula>NOT(ISERROR(SEARCH("Mostly Inactive",K2)))</formula>
    </cfRule>
    <cfRule type="containsText" dxfId="75" priority="201" operator="containsText" text="Missing In Action">
      <formula>NOT(ISERROR(SEARCH("Missing In Action",K2)))</formula>
    </cfRule>
  </conditionalFormatting>
  <conditionalFormatting sqref="P157:S161">
    <cfRule type="containsText" dxfId="74" priority="152" operator="containsText" text="Somewhat Active">
      <formula>NOT(ISERROR(SEARCH("Somewhat Active",P157)))</formula>
    </cfRule>
    <cfRule type="containsText" dxfId="73" priority="149" operator="containsText" text="Highly Active">
      <formula>NOT(ISERROR(SEARCH("Highly Active",P157)))</formula>
    </cfRule>
    <cfRule type="containsText" dxfId="72" priority="150" operator="containsText" text="Missing In Action">
      <formula>NOT(ISERROR(SEARCH("Missing In Action",P157)))</formula>
    </cfRule>
    <cfRule type="containsText" dxfId="71" priority="151" operator="containsText" text="Mostly Inactive">
      <formula>NOT(ISERROR(SEARCH("Mostly Inactive",P157)))</formula>
    </cfRule>
  </conditionalFormatting>
  <conditionalFormatting sqref="P1:AB1">
    <cfRule type="containsText" dxfId="70" priority="645" operator="containsText" text="Mostly Inactive">
      <formula>NOT(ISERROR(SEARCH("Mostly Inactive",P1)))</formula>
    </cfRule>
    <cfRule type="containsText" dxfId="69" priority="644" operator="containsText" text="Missing In Action">
      <formula>NOT(ISERROR(SEARCH("Missing In Action",P1)))</formula>
    </cfRule>
    <cfRule type="containsText" dxfId="68" priority="643" operator="containsText" text="Highly Active">
      <formula>NOT(ISERROR(SEARCH("Highly Active",P1)))</formula>
    </cfRule>
    <cfRule type="containsText" dxfId="67" priority="646" operator="containsText" text="Somewhat Active">
      <formula>NOT(ISERROR(SEARCH("Somewhat Active",P1)))</formula>
    </cfRule>
  </conditionalFormatting>
  <conditionalFormatting sqref="R239:V242">
    <cfRule type="containsText" dxfId="66" priority="113" operator="containsText" text="Highly Active">
      <formula>NOT(ISERROR(SEARCH("Highly Active",R239)))</formula>
    </cfRule>
    <cfRule type="containsText" dxfId="65" priority="114" operator="containsText" text="Missing In Action">
      <formula>NOT(ISERROR(SEARCH("Missing In Action",R239)))</formula>
    </cfRule>
    <cfRule type="containsText" dxfId="64" priority="115" operator="containsText" text="Mostly Inactive">
      <formula>NOT(ISERROR(SEARCH("Mostly Inactive",R239)))</formula>
    </cfRule>
    <cfRule type="containsText" dxfId="63" priority="116" operator="containsText" text="Somewhat Active">
      <formula>NOT(ISERROR(SEARCH("Somewhat Active",R239)))</formula>
    </cfRule>
  </conditionalFormatting>
  <conditionalFormatting sqref="W238:AB242">
    <cfRule type="containsText" dxfId="62" priority="109" operator="containsText" text="Highly Active">
      <formula>NOT(ISERROR(SEARCH("Highly Active",W238)))</formula>
    </cfRule>
    <cfRule type="containsText" dxfId="61" priority="112" operator="containsText" text="Somewhat Active">
      <formula>NOT(ISERROR(SEARCH("Somewhat Active",W238)))</formula>
    </cfRule>
    <cfRule type="containsText" dxfId="60" priority="111" operator="containsText" text="Mostly Inactive">
      <formula>NOT(ISERROR(SEARCH("Mostly Inactive",W238)))</formula>
    </cfRule>
    <cfRule type="containsText" dxfId="59" priority="110" operator="containsText" text="Missing In Action">
      <formula>NOT(ISERROR(SEARCH("Missing In Action",W238)))</formula>
    </cfRule>
  </conditionalFormatting>
  <conditionalFormatting sqref="Z51:Z56">
    <cfRule type="containsText" dxfId="58" priority="27" operator="containsText" text="Mostly Inactive">
      <formula>NOT(ISERROR(SEARCH("Mostly Inactive",Z51)))</formula>
    </cfRule>
    <cfRule type="containsText" dxfId="57" priority="26" operator="containsText" text="Missing In Action">
      <formula>NOT(ISERROR(SEARCH("Missing In Action",Z51)))</formula>
    </cfRule>
    <cfRule type="containsText" dxfId="56" priority="25" operator="containsText" text="Highly Active">
      <formula>NOT(ISERROR(SEARCH("Highly Active",Z51)))</formula>
    </cfRule>
    <cfRule type="containsText" dxfId="55" priority="28" operator="containsText" text="Somewhat Active">
      <formula>NOT(ISERROR(SEARCH("Somewhat Active",Z51)))</formula>
    </cfRule>
  </conditionalFormatting>
  <conditionalFormatting sqref="AA51:AC56">
    <cfRule type="containsText" dxfId="54" priority="24" operator="containsText" text="Somewhat Active">
      <formula>NOT(ISERROR(SEARCH("Somewhat Active",AA51)))</formula>
    </cfRule>
    <cfRule type="containsText" dxfId="53" priority="23" operator="containsText" text="Mostly Inactive">
      <formula>NOT(ISERROR(SEARCH("Mostly Inactive",AA51)))</formula>
    </cfRule>
    <cfRule type="containsText" dxfId="52" priority="22" operator="containsText" text="Missing In Action">
      <formula>NOT(ISERROR(SEARCH("Missing In Action",AA51)))</formula>
    </cfRule>
    <cfRule type="containsText" dxfId="51" priority="21" operator="containsText" text="Highly Active">
      <formula>NOT(ISERROR(SEARCH("Highly Active",AA51)))</formula>
    </cfRule>
  </conditionalFormatting>
  <conditionalFormatting sqref="AB157:AB161">
    <cfRule type="containsText" dxfId="50" priority="90" operator="containsText" text="Missing In Action">
      <formula>NOT(ISERROR(SEARCH("Missing In Action",AB157)))</formula>
    </cfRule>
    <cfRule type="containsText" dxfId="49" priority="89" operator="containsText" text="Highly Active">
      <formula>NOT(ISERROR(SEARCH("Highly Active",AB157)))</formula>
    </cfRule>
    <cfRule type="containsText" dxfId="48" priority="91" operator="containsText" text="Mostly Inactive">
      <formula>NOT(ISERROR(SEARCH("Mostly Inactive",AB157)))</formula>
    </cfRule>
    <cfRule type="containsText" dxfId="47" priority="92" operator="containsText" text="Somewhat Active">
      <formula>NOT(ISERROR(SEARCH("Somewhat Active",AB157)))</formula>
    </cfRule>
  </conditionalFormatting>
  <conditionalFormatting sqref="AC2:AC11">
    <cfRule type="containsText" dxfId="46" priority="60" operator="containsText" text="Somewhat Active">
      <formula>NOT(ISERROR(SEARCH("Somewhat Active",AC2)))</formula>
    </cfRule>
    <cfRule type="containsText" dxfId="45" priority="57" operator="containsText" text="Highly Active">
      <formula>NOT(ISERROR(SEARCH("Highly Active",AC2)))</formula>
    </cfRule>
    <cfRule type="containsText" dxfId="44" priority="58" operator="containsText" text="Missing In Action">
      <formula>NOT(ISERROR(SEARCH("Missing In Action",AC2)))</formula>
    </cfRule>
    <cfRule type="containsText" dxfId="43" priority="59" operator="containsText" text="Mostly Inactive">
      <formula>NOT(ISERROR(SEARCH("Mostly Inactive",AC2)))</formula>
    </cfRule>
  </conditionalFormatting>
  <conditionalFormatting sqref="AC36:AC45">
    <cfRule type="containsText" dxfId="42" priority="144" operator="containsText" text="Somewhat Active">
      <formula>NOT(ISERROR(SEARCH("Somewhat Active",AC36)))</formula>
    </cfRule>
    <cfRule type="containsText" dxfId="41" priority="143" operator="containsText" text="Mostly Inactive">
      <formula>NOT(ISERROR(SEARCH("Mostly Inactive",AC36)))</formula>
    </cfRule>
    <cfRule type="containsText" dxfId="40" priority="142" operator="containsText" text="Missing In Action">
      <formula>NOT(ISERROR(SEARCH("Missing In Action",AC36)))</formula>
    </cfRule>
    <cfRule type="containsText" dxfId="39" priority="141" operator="containsText" text="Highly Active">
      <formula>NOT(ISERROR(SEARCH("Highly Active",AC36)))</formula>
    </cfRule>
  </conditionalFormatting>
  <conditionalFormatting sqref="AC57:AC84">
    <cfRule type="containsText" dxfId="38" priority="1" operator="containsText" text="Highly Active">
      <formula>NOT(ISERROR(SEARCH("Highly Active",AC57)))</formula>
    </cfRule>
    <cfRule type="containsText" dxfId="37" priority="2" operator="containsText" text="Missing In Action">
      <formula>NOT(ISERROR(SEARCH("Missing In Action",AC57)))</formula>
    </cfRule>
    <cfRule type="containsText" dxfId="36" priority="3" operator="containsText" text="Mostly Inactive">
      <formula>NOT(ISERROR(SEARCH("Mostly Inactive",AC57)))</formula>
    </cfRule>
    <cfRule type="containsText" dxfId="35" priority="4" operator="containsText" text="Somewhat Active">
      <formula>NOT(ISERROR(SEARCH("Somewhat Active",AC57)))</formula>
    </cfRule>
  </conditionalFormatting>
  <conditionalFormatting sqref="AC95:AC97">
    <cfRule type="containsText" dxfId="34" priority="96" operator="containsText" text="Somewhat Active">
      <formula>NOT(ISERROR(SEARCH("Somewhat Active",AC95)))</formula>
    </cfRule>
    <cfRule type="containsText" dxfId="33" priority="95" operator="containsText" text="Mostly Inactive">
      <formula>NOT(ISERROR(SEARCH("Mostly Inactive",AC95)))</formula>
    </cfRule>
    <cfRule type="containsText" dxfId="32" priority="94" operator="containsText" text="Missing In Action">
      <formula>NOT(ISERROR(SEARCH("Missing In Action",AC95)))</formula>
    </cfRule>
    <cfRule type="containsText" dxfId="31" priority="93" operator="containsText" text="Highly Active">
      <formula>NOT(ISERROR(SEARCH("Highly Active",AC95)))</formula>
    </cfRule>
  </conditionalFormatting>
  <conditionalFormatting sqref="AC116:AC120">
    <cfRule type="containsText" dxfId="30" priority="56" operator="containsText" text="Somewhat Active">
      <formula>NOT(ISERROR(SEARCH("Somewhat Active",AC116)))</formula>
    </cfRule>
    <cfRule type="containsText" dxfId="29" priority="53" operator="containsText" text="Highly Active">
      <formula>NOT(ISERROR(SEARCH("Highly Active",AC116)))</formula>
    </cfRule>
    <cfRule type="containsText" dxfId="28" priority="54" operator="containsText" text="Missing In Action">
      <formula>NOT(ISERROR(SEARCH("Missing In Action",AC116)))</formula>
    </cfRule>
    <cfRule type="containsText" dxfId="27" priority="55" operator="containsText" text="Mostly Inactive">
      <formula>NOT(ISERROR(SEARCH("Mostly Inactive",AC116)))</formula>
    </cfRule>
  </conditionalFormatting>
  <conditionalFormatting sqref="AC157:AC161">
    <cfRule type="containsText" dxfId="26" priority="85" operator="containsText" text="Highly Active">
      <formula>NOT(ISERROR(SEARCH("Highly Active",AC157)))</formula>
    </cfRule>
    <cfRule type="containsText" dxfId="25" priority="88" operator="containsText" text="Somewhat Active">
      <formula>NOT(ISERROR(SEARCH("Somewhat Active",AC157)))</formula>
    </cfRule>
    <cfRule type="containsText" dxfId="24" priority="87" operator="containsText" text="Mostly Inactive">
      <formula>NOT(ISERROR(SEARCH("Mostly Inactive",AC157)))</formula>
    </cfRule>
    <cfRule type="containsText" dxfId="23" priority="86" operator="containsText" text="Missing In Action">
      <formula>NOT(ISERROR(SEARCH("Missing In Action",AC157)))</formula>
    </cfRule>
  </conditionalFormatting>
  <conditionalFormatting sqref="AC192:AC196">
    <cfRule type="containsText" dxfId="22" priority="63" operator="containsText" text="Mostly Inactive">
      <formula>NOT(ISERROR(SEARCH("Mostly Inactive",AC192)))</formula>
    </cfRule>
    <cfRule type="containsText" dxfId="21" priority="64" operator="containsText" text="Somewhat Active">
      <formula>NOT(ISERROR(SEARCH("Somewhat Active",AC192)))</formula>
    </cfRule>
    <cfRule type="containsText" dxfId="20" priority="61" operator="containsText" text="Highly Active">
      <formula>NOT(ISERROR(SEARCH("Highly Active",AC192)))</formula>
    </cfRule>
    <cfRule type="containsText" dxfId="19" priority="62" operator="containsText" text="Missing In Action">
      <formula>NOT(ISERROR(SEARCH("Missing In Action",AC192)))</formula>
    </cfRule>
  </conditionalFormatting>
  <conditionalFormatting sqref="AC201:AC205">
    <cfRule type="containsText" dxfId="18" priority="147" operator="containsText" text="Mostly Inactive">
      <formula>NOT(ISERROR(SEARCH("Mostly Inactive",AC201)))</formula>
    </cfRule>
    <cfRule type="containsText" dxfId="17" priority="146" operator="containsText" text="Missing In Action">
      <formula>NOT(ISERROR(SEARCH("Missing In Action",AC201)))</formula>
    </cfRule>
    <cfRule type="containsText" dxfId="16" priority="145" operator="containsText" text="Highly Active">
      <formula>NOT(ISERROR(SEARCH("Highly Active",AC201)))</formula>
    </cfRule>
    <cfRule type="containsText" dxfId="15" priority="148" operator="containsText" text="Somewhat Active">
      <formula>NOT(ISERROR(SEARCH("Somewhat Active",AC201)))</formula>
    </cfRule>
  </conditionalFormatting>
  <conditionalFormatting sqref="AC225:AC228">
    <cfRule type="containsText" dxfId="14" priority="8" operator="containsText" text="Somewhat Active">
      <formula>NOT(ISERROR(SEARCH("Somewhat Active",AC225)))</formula>
    </cfRule>
    <cfRule type="containsText" dxfId="13" priority="7" operator="containsText" text="Mostly Inactive">
      <formula>NOT(ISERROR(SEARCH("Mostly Inactive",AC225)))</formula>
    </cfRule>
    <cfRule type="containsText" dxfId="12" priority="6" operator="containsText" text="Missing In Action">
      <formula>NOT(ISERROR(SEARCH("Missing In Action",AC225)))</formula>
    </cfRule>
    <cfRule type="containsText" dxfId="11" priority="5" operator="containsText" text="Highly Active">
      <formula>NOT(ISERROR(SEARCH("Highly Active",AC225)))</formula>
    </cfRule>
  </conditionalFormatting>
  <conditionalFormatting sqref="AC233:AC247">
    <cfRule type="containsText" dxfId="10" priority="36" operator="containsText" text="Somewhat Active">
      <formula>NOT(ISERROR(SEARCH("Somewhat Active",AC233)))</formula>
    </cfRule>
    <cfRule type="containsText" dxfId="9" priority="35" operator="containsText" text="Mostly Inactive">
      <formula>NOT(ISERROR(SEARCH("Mostly Inactive",AC233)))</formula>
    </cfRule>
    <cfRule type="containsText" dxfId="8" priority="34" operator="containsText" text="Missing In Action">
      <formula>NOT(ISERROR(SEARCH("Missing In Action",AC233)))</formula>
    </cfRule>
    <cfRule type="containsText" dxfId="7" priority="33" operator="containsText" text="Highly Active">
      <formula>NOT(ISERROR(SEARCH("Highly Active",AC233)))</formula>
    </cfRule>
  </conditionalFormatting>
  <dataValidations count="3">
    <dataValidation type="list" allowBlank="1" showInputMessage="1" showErrorMessage="1" sqref="M144:M238 M2:M142" xr:uid="{7EFC84D8-88D1-A34C-AE3D-E72611ADF6A9}">
      <formula1>"Team Lead"</formula1>
    </dataValidation>
    <dataValidation allowBlank="1" showInputMessage="1" showErrorMessage="1" sqref="F143 F97" xr:uid="{92D6D6B7-7165-4933-88A1-DEB740193DB8}"/>
    <dataValidation type="list" allowBlank="1" showInputMessage="1" showErrorMessage="1" sqref="Q111:Q156 R148:S156 T148:V183 P243:AC247 T184:U184 W152:W184 X114:X129 W150:AB151 R66:V147 Q52:Q109 R56:W65 R52:Y55 T185:T237 X152:Z191 S157:S237 U185:W191 AC201:AC205 X56:Y79 AC138:AC144 Q18:Y51 AB18:AB21 AC2:AC11 P2:AB17 AC36:AC45 W66:W129 P18:P156 P157:R238 U192:U237 V192:V238 W192:Z237 X80:X112 AC95:AC97 W130:X149 AC233:AC237 Y80:Y149 AC157:AC161 AC167:AC176 AC192:AC196 AC116:AC120 AB22:AC30 AC57:AC84 Z18:AA50 AB32:AB50 Z51:Z149 AA57:AB149 AA51:AC56 AA152:AB224 AA226:AB237 AA225:AC225 AC226:AC228 AC216:AC219 AC101:AC105" xr:uid="{D0409205-3E08-B34F-9FE1-117FDA33C880}">
      <formula1>"Highly Active, Somewhat Active, Mostly Inactive, Missing In Action"</formula1>
    </dataValidation>
  </dataValidations>
  <hyperlinks>
    <hyperlink ref="A81" r:id="rId1" xr:uid="{67244671-E567-41F6-A77C-9B544364A45C}"/>
    <hyperlink ref="A82" r:id="rId2" xr:uid="{2DBB1895-A774-4CAF-A1FF-17FCC2FCBE85}"/>
    <hyperlink ref="A83" r:id="rId3" xr:uid="{636258B9-9B32-40D8-905C-D5ED66F97C4A}"/>
    <hyperlink ref="A121" r:id="rId4" xr:uid="{27314E5C-220A-45C9-A5FF-04F76C757635}"/>
    <hyperlink ref="H213" r:id="rId5" xr:uid="{D56F6626-E12C-8845-8B86-049B93CDD7CA}"/>
    <hyperlink ref="A30" r:id="rId6" xr:uid="{9437B2B8-58B3-41B9-B4A1-3D162A444923}"/>
    <hyperlink ref="A84" r:id="rId7" display="mailto:zsadi002@fiu.edu" xr:uid="{C971D061-568C-C440-AC26-A6974A326B93}"/>
    <hyperlink ref="A98" r:id="rId8" xr:uid="{41F090E1-0B35-40CB-8A95-41B983F7DE54}"/>
    <hyperlink ref="A145" r:id="rId9" xr:uid="{B33E1826-69C4-4454-BBF6-437D6E72097A}"/>
    <hyperlink ref="A137" r:id="rId10" xr:uid="{4D728D61-E5E2-4582-A0A5-817405446799}"/>
    <hyperlink ref="A76" r:id="rId11" xr:uid="{91ED7F23-A8A6-4500-94AB-16F55E18CF07}"/>
    <hyperlink ref="A202" r:id="rId12" xr:uid="{08ECAE61-869C-48D0-9630-C347AC8E3460}"/>
    <hyperlink ref="A96" r:id="rId13" xr:uid="{D27C5AA6-6703-4055-AC82-AB0D9D24FF84}"/>
    <hyperlink ref="A214" r:id="rId14" xr:uid="{ECDBAEB5-B035-4E8B-B5AB-67B704991D06}"/>
    <hyperlink ref="A213" r:id="rId15" xr:uid="{EC466921-DE05-48D7-99AF-9BFDFCD3390C}"/>
    <hyperlink ref="A212" r:id="rId16" xr:uid="{FC35B96D-9828-4934-B033-52F7C2E48E47}"/>
    <hyperlink ref="A211" r:id="rId17" xr:uid="{A1F5A3EA-18AE-4B5A-9BD9-68051A4DCCF7}"/>
  </hyperlinks>
  <pageMargins left="0.7" right="0.7" top="0.75" bottom="0.75" header="0.3" footer="0.3"/>
  <pageSetup orientation="landscape" horizontalDpi="0" verticalDpi="0"/>
  <headerFooter>
    <oddFooter>&amp;C_x000D_&amp;1#&amp;"Aptos"&amp;12&amp;K000000 FIU - Internal Data</oddFooter>
  </headerFooter>
  <tableParts count="1">
    <tablePart r:id="rId18"/>
  </tableParts>
  <extLst>
    <ext xmlns:x14="http://schemas.microsoft.com/office/spreadsheetml/2009/9/main" uri="{CCE6A557-97BC-4b89-ADB6-D9C93CAAB3DF}">
      <x14:dataValidations xmlns:xm="http://schemas.microsoft.com/office/excel/2006/main" count="1">
        <x14:dataValidation type="list" allowBlank="1" showInputMessage="1" showErrorMessage="1" xr:uid="{B48728BA-DAAC-FE4F-80E0-FDB64B305080}">
          <x14:formula1>
            <xm:f>Projects!$A$2:$A$76</xm:f>
          </x14:formula1>
          <xm:sqref>F98:F142 F2:F96 F144:F250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2F226-749E-6D42-BB40-71E765A70039}">
  <dimension ref="A1:L76"/>
  <sheetViews>
    <sheetView topLeftCell="A6" zoomScaleNormal="100" workbookViewId="0">
      <selection activeCell="D3" sqref="D3"/>
    </sheetView>
  </sheetViews>
  <sheetFormatPr baseColWidth="10" defaultColWidth="11.5" defaultRowHeight="15" x14ac:dyDescent="0.2"/>
  <cols>
    <col min="1" max="1" width="111.5" bestFit="1" customWidth="1"/>
    <col min="2" max="2" width="10.33203125" bestFit="1" customWidth="1"/>
    <col min="3" max="3" width="87" bestFit="1" customWidth="1"/>
    <col min="4" max="4" width="30.83203125" bestFit="1" customWidth="1"/>
    <col min="5" max="5" width="40.5" bestFit="1" customWidth="1"/>
    <col min="6" max="6" width="23.1640625" bestFit="1" customWidth="1"/>
    <col min="7" max="7" width="15.33203125" bestFit="1" customWidth="1"/>
    <col min="8" max="8" width="69.33203125" bestFit="1" customWidth="1"/>
    <col min="9" max="9" width="255.5" bestFit="1" customWidth="1"/>
    <col min="10" max="10" width="83.5" customWidth="1"/>
    <col min="11" max="11" width="255.83203125" bestFit="1" customWidth="1"/>
  </cols>
  <sheetData>
    <row r="1" spans="1:12" x14ac:dyDescent="0.2">
      <c r="A1" t="s">
        <v>5</v>
      </c>
      <c r="B1" t="s">
        <v>593</v>
      </c>
      <c r="C1" t="s">
        <v>594</v>
      </c>
      <c r="D1" s="7" t="s">
        <v>595</v>
      </c>
      <c r="E1" s="7" t="s">
        <v>596</v>
      </c>
      <c r="F1" s="7" t="s">
        <v>597</v>
      </c>
      <c r="G1" s="7" t="s">
        <v>598</v>
      </c>
      <c r="H1" s="7" t="s">
        <v>599</v>
      </c>
      <c r="I1" s="7" t="s">
        <v>600</v>
      </c>
      <c r="J1" s="7" t="s">
        <v>601</v>
      </c>
      <c r="K1" s="7" t="s">
        <v>602</v>
      </c>
      <c r="L1" s="7" t="s">
        <v>603</v>
      </c>
    </row>
    <row r="2" spans="1:12" ht="222" x14ac:dyDescent="0.2">
      <c r="A2" t="str">
        <f>_xlfn.CONCAT(Projects[[#This Row],[Project Focus]], ": ", Projects[[#This Row],[Project Title]])</f>
        <v>Computer Science: Adaptive Quantum-AI Pedagogy Platform</v>
      </c>
      <c r="B2" t="str">
        <f>IF(Projects[[#This Row],[Column1]]=Projects[[#This Row],[Project]],"Yes","No")</f>
        <v>No</v>
      </c>
      <c r="D2" s="8" t="s">
        <v>604</v>
      </c>
      <c r="E2" s="8" t="s">
        <v>605</v>
      </c>
      <c r="F2" s="8" t="s">
        <v>606</v>
      </c>
      <c r="G2" s="8" t="s">
        <v>607</v>
      </c>
      <c r="H2" s="8" t="s">
        <v>608</v>
      </c>
      <c r="I2" s="8" t="s">
        <v>609</v>
      </c>
      <c r="J2" s="9" t="s">
        <v>610</v>
      </c>
      <c r="K2" s="8" t="s">
        <v>31</v>
      </c>
      <c r="L2" s="8" t="s">
        <v>611</v>
      </c>
    </row>
    <row r="3" spans="1:12" ht="409.6" x14ac:dyDescent="0.2">
      <c r="A3" t="str">
        <f>_xlfn.CONCAT(Projects[[#This Row],[Project Focus]], ": ", Projects[[#This Row],[Project Title]])</f>
        <v>Computer Science: AI Demand Planning &amp; Forecast Adjustment</v>
      </c>
      <c r="B3" t="str">
        <f>IF(Projects[[#This Row],[Column1]]=Projects[[#This Row],[Project]],"Yes","No")</f>
        <v>No</v>
      </c>
      <c r="D3" s="8" t="s">
        <v>612</v>
      </c>
      <c r="E3" s="8" t="s">
        <v>613</v>
      </c>
      <c r="F3" s="8" t="s">
        <v>614</v>
      </c>
      <c r="G3" s="8" t="s">
        <v>615</v>
      </c>
      <c r="H3" s="8" t="s">
        <v>616</v>
      </c>
      <c r="I3" s="8" t="s">
        <v>617</v>
      </c>
      <c r="J3" s="9" t="s">
        <v>618</v>
      </c>
      <c r="K3" s="8" t="s">
        <v>31</v>
      </c>
      <c r="L3" s="8" t="s">
        <v>619</v>
      </c>
    </row>
    <row r="4" spans="1:12" ht="40" x14ac:dyDescent="0.2">
      <c r="A4" t="str">
        <f>_xlfn.CONCAT(Projects[[#This Row],[Project Focus]], ": ", Projects[[#This Row],[Project Title]])</f>
        <v>Computer Science: AI Medical Diagnosis Assistant</v>
      </c>
      <c r="B4" t="str">
        <f>IF(Projects[[#This Row],[Column1]]=Projects[[#This Row],[Project]],"Yes","No")</f>
        <v>Yes</v>
      </c>
      <c r="C4" t="s">
        <v>34</v>
      </c>
      <c r="D4" s="8" t="s">
        <v>620</v>
      </c>
      <c r="E4" s="11" t="s">
        <v>39</v>
      </c>
      <c r="F4" s="8" t="s">
        <v>621</v>
      </c>
      <c r="G4" s="8" t="s">
        <v>622</v>
      </c>
      <c r="H4" s="8" t="s">
        <v>623</v>
      </c>
      <c r="I4" s="8" t="s">
        <v>624</v>
      </c>
      <c r="J4" s="9" t="s">
        <v>625</v>
      </c>
      <c r="K4" s="8" t="s">
        <v>31</v>
      </c>
      <c r="L4" s="8" t="s">
        <v>626</v>
      </c>
    </row>
    <row r="5" spans="1:12" ht="157" x14ac:dyDescent="0.2">
      <c r="A5" t="str">
        <f>_xlfn.CONCAT(Projects[[#This Row],[Project Focus]], ": ", Projects[[#This Row],[Project Title]])</f>
        <v>Computer Science: AI-Driven Topic and Sentiment Analysis of Patient Safety Comments</v>
      </c>
      <c r="B5" t="str">
        <f>IF(Projects[[#This Row],[Column1]]=Projects[[#This Row],[Project]],"Yes","No")</f>
        <v>Yes</v>
      </c>
      <c r="C5" t="s">
        <v>47</v>
      </c>
      <c r="D5" s="8" t="s">
        <v>627</v>
      </c>
      <c r="E5" s="11" t="s">
        <v>628</v>
      </c>
      <c r="F5" s="8" t="s">
        <v>629</v>
      </c>
      <c r="G5" s="8" t="s">
        <v>630</v>
      </c>
      <c r="H5" s="8" t="s">
        <v>631</v>
      </c>
      <c r="I5" s="8" t="s">
        <v>632</v>
      </c>
      <c r="J5" s="9" t="s">
        <v>633</v>
      </c>
      <c r="K5" s="8" t="s">
        <v>31</v>
      </c>
      <c r="L5" s="8" t="s">
        <v>611</v>
      </c>
    </row>
    <row r="6" spans="1:12" ht="381" x14ac:dyDescent="0.2">
      <c r="A6" t="str">
        <f>_xlfn.CONCAT(Projects[[#This Row],[Project Focus]], ": ", Projects[[#This Row],[Project Title]])</f>
        <v>Computer Science: AI-Driven Warehouse Stock Management</v>
      </c>
      <c r="B6" t="str">
        <f>IF(Projects[[#This Row],[Column1]]=Projects[[#This Row],[Project]],"Yes","No")</f>
        <v>Yes</v>
      </c>
      <c r="C6" t="s">
        <v>58</v>
      </c>
      <c r="D6" s="8" t="s">
        <v>612</v>
      </c>
      <c r="E6" s="8" t="s">
        <v>613</v>
      </c>
      <c r="F6" s="8" t="s">
        <v>614</v>
      </c>
      <c r="G6" s="8" t="s">
        <v>615</v>
      </c>
      <c r="H6" s="8" t="s">
        <v>616</v>
      </c>
      <c r="I6" s="8" t="s">
        <v>634</v>
      </c>
      <c r="J6" s="9" t="s">
        <v>635</v>
      </c>
      <c r="K6" s="8" t="s">
        <v>31</v>
      </c>
      <c r="L6" s="8" t="s">
        <v>619</v>
      </c>
    </row>
    <row r="7" spans="1:12" ht="79" x14ac:dyDescent="0.2">
      <c r="A7" t="str">
        <f>_xlfn.CONCAT(Projects[[#This Row],[Project Focus]], ": ", Projects[[#This Row],[Project Title]])</f>
        <v>Computer Science: ArtCollab</v>
      </c>
      <c r="B7" t="str">
        <f>IF(Projects[[#This Row],[Column1]]=Projects[[#This Row],[Project]],"Yes","No")</f>
        <v>Yes</v>
      </c>
      <c r="C7" t="s">
        <v>69</v>
      </c>
      <c r="D7" s="8" t="s">
        <v>636</v>
      </c>
      <c r="E7" s="11" t="s">
        <v>67</v>
      </c>
      <c r="F7" s="8" t="s">
        <v>621</v>
      </c>
      <c r="G7" s="8" t="s">
        <v>622</v>
      </c>
      <c r="H7" s="8" t="s">
        <v>623</v>
      </c>
      <c r="I7" s="8" t="s">
        <v>637</v>
      </c>
      <c r="J7" s="9" t="s">
        <v>638</v>
      </c>
      <c r="K7" s="8" t="s">
        <v>31</v>
      </c>
      <c r="L7" s="12" t="s">
        <v>611</v>
      </c>
    </row>
    <row r="8" spans="1:12" x14ac:dyDescent="0.2">
      <c r="A8" t="str">
        <f>_xlfn.CONCAT(Projects[[#This Row],[Project Focus]], ": ", Projects[[#This Row],[Project Title]])</f>
        <v>Computer Science: Audio- and AI-Based Movie Genre and Rating Detector</v>
      </c>
      <c r="B8" t="str">
        <f>IF(Projects[[#This Row],[Column1]]=Projects[[#This Row],[Project]],"Yes","No")</f>
        <v>Yes</v>
      </c>
      <c r="C8" t="s">
        <v>81</v>
      </c>
      <c r="D8" s="8" t="s">
        <v>639</v>
      </c>
      <c r="E8" s="8" t="s">
        <v>640</v>
      </c>
      <c r="F8" s="8" t="s">
        <v>621</v>
      </c>
      <c r="G8" s="8" t="s">
        <v>641</v>
      </c>
      <c r="H8" s="8" t="s">
        <v>631</v>
      </c>
      <c r="I8" s="8" t="s">
        <v>642</v>
      </c>
      <c r="J8" s="8" t="s">
        <v>643</v>
      </c>
      <c r="K8" s="8" t="s">
        <v>31</v>
      </c>
      <c r="L8" s="8" t="s">
        <v>611</v>
      </c>
    </row>
    <row r="9" spans="1:12" x14ac:dyDescent="0.2">
      <c r="A9" t="str">
        <f>_xlfn.CONCAT(Projects[[#This Row],[Project Focus]], ": ", Projects[[#This Row],[Project Title]])</f>
        <v>Computer Science: BriskRecall</v>
      </c>
      <c r="B9" t="str">
        <f>IF(Projects[[#This Row],[Column1]]=Projects[[#This Row],[Project]],"Yes","No")</f>
        <v>Yes</v>
      </c>
      <c r="C9" t="s">
        <v>92</v>
      </c>
      <c r="D9" s="8" t="s">
        <v>644</v>
      </c>
      <c r="E9" s="11" t="s">
        <v>90</v>
      </c>
      <c r="F9" s="8" t="s">
        <v>621</v>
      </c>
      <c r="G9" s="8" t="s">
        <v>622</v>
      </c>
      <c r="H9" s="8" t="s">
        <v>623</v>
      </c>
      <c r="I9" t="s">
        <v>645</v>
      </c>
      <c r="J9" t="s">
        <v>646</v>
      </c>
      <c r="K9" s="8" t="s">
        <v>31</v>
      </c>
      <c r="L9" s="12" t="s">
        <v>626</v>
      </c>
    </row>
    <row r="10" spans="1:12" ht="27" x14ac:dyDescent="0.2">
      <c r="A10" t="str">
        <f>_xlfn.CONCAT(Projects[[#This Row],[Project Focus]], ": ", Projects[[#This Row],[Project Title]])</f>
        <v>Computer Science: Campus Assistant</v>
      </c>
      <c r="B10" t="str">
        <f>IF(Projects[[#This Row],[Column1]]=Projects[[#This Row],[Project]],"Yes","No")</f>
        <v>Yes</v>
      </c>
      <c r="C10" t="s">
        <v>101</v>
      </c>
      <c r="D10" s="8" t="s">
        <v>647</v>
      </c>
      <c r="E10" t="s">
        <v>99</v>
      </c>
      <c r="F10" s="8" t="s">
        <v>621</v>
      </c>
      <c r="G10" s="8" t="s">
        <v>622</v>
      </c>
      <c r="H10" s="8" t="s">
        <v>623</v>
      </c>
      <c r="I10" s="8" t="s">
        <v>648</v>
      </c>
      <c r="J10" s="9" t="s">
        <v>649</v>
      </c>
      <c r="K10" s="8" t="s">
        <v>31</v>
      </c>
      <c r="L10" s="8" t="s">
        <v>611</v>
      </c>
    </row>
    <row r="11" spans="1:12" ht="53" x14ac:dyDescent="0.2">
      <c r="A11" t="str">
        <f>_xlfn.CONCAT(Projects[[#This Row],[Project Focus]], ": ", Projects[[#This Row],[Project Title]])</f>
        <v>Computer Science: Campus Social Media App</v>
      </c>
      <c r="B11" t="str">
        <f>IF(Projects[[#This Row],[Column1]]=Projects[[#This Row],[Project]],"Yes","No")</f>
        <v>Yes</v>
      </c>
      <c r="C11" t="s">
        <v>113</v>
      </c>
      <c r="D11" s="8" t="s">
        <v>650</v>
      </c>
      <c r="E11" s="11" t="s">
        <v>114</v>
      </c>
      <c r="F11" s="8" t="s">
        <v>621</v>
      </c>
      <c r="G11" s="8" t="s">
        <v>622</v>
      </c>
      <c r="H11" s="8" t="s">
        <v>623</v>
      </c>
      <c r="I11" s="8" t="s">
        <v>651</v>
      </c>
      <c r="J11" s="9" t="s">
        <v>652</v>
      </c>
      <c r="K11" s="8" t="s">
        <v>31</v>
      </c>
      <c r="L11" s="8"/>
    </row>
    <row r="12" spans="1:12" ht="79" x14ac:dyDescent="0.2">
      <c r="A12" t="str">
        <f>_xlfn.CONCAT(Projects[[#This Row],[Project Focus]], ": ", Projects[[#This Row],[Project Title]])</f>
        <v>Computer Science: Canvas AI Assistant</v>
      </c>
      <c r="B12" t="str">
        <f>IF(Projects[[#This Row],[Column1]]=Projects[[#This Row],[Project]],"Yes","No")</f>
        <v>Yes</v>
      </c>
      <c r="C12" t="s">
        <v>124</v>
      </c>
      <c r="D12" s="8" t="s">
        <v>653</v>
      </c>
      <c r="E12" s="8" t="s">
        <v>122</v>
      </c>
      <c r="F12" s="8" t="s">
        <v>621</v>
      </c>
      <c r="G12" s="8" t="s">
        <v>622</v>
      </c>
      <c r="H12" s="8" t="s">
        <v>623</v>
      </c>
      <c r="I12" s="8" t="s">
        <v>654</v>
      </c>
      <c r="J12" s="9" t="s">
        <v>655</v>
      </c>
      <c r="K12" s="8" t="s">
        <v>31</v>
      </c>
      <c r="L12" s="8"/>
    </row>
    <row r="13" spans="1:12" x14ac:dyDescent="0.2">
      <c r="A13" t="str">
        <f>_xlfn.CONCAT(Projects[[#This Row],[Project Focus]], ": ", Projects[[#This Row],[Project Title]])</f>
        <v>Computer Science: Cloud Cost Optimizer Dashboard</v>
      </c>
      <c r="B13" t="str">
        <f>IF(Projects[[#This Row],[Column1]]=Projects[[#This Row],[Project]],"Yes","No")</f>
        <v>Yes</v>
      </c>
      <c r="C13" t="str">
        <f>_xlfn.CONCAT(Projects[[#This Row],[Project Focus]], ": ", Projects[[#This Row],[Project Title]])</f>
        <v>Computer Science: Cloud Cost Optimizer Dashboard</v>
      </c>
      <c r="D13" s="8" t="s">
        <v>656</v>
      </c>
      <c r="E13" s="11" t="s">
        <v>138</v>
      </c>
      <c r="F13" s="8" t="s">
        <v>621</v>
      </c>
      <c r="G13" s="8" t="s">
        <v>622</v>
      </c>
      <c r="H13" s="8" t="s">
        <v>623</v>
      </c>
      <c r="I13" s="8" t="s">
        <v>657</v>
      </c>
      <c r="J13" s="9"/>
      <c r="K13" s="8" t="s">
        <v>31</v>
      </c>
      <c r="L13" s="8" t="s">
        <v>611</v>
      </c>
    </row>
    <row r="14" spans="1:12" x14ac:dyDescent="0.2">
      <c r="A14" t="str">
        <f>_xlfn.CONCAT(Projects[[#This Row],[Project Focus]], ": ", Projects[[#This Row],[Project Title]])</f>
        <v>Computer Science: Computing a Watchman Route in a Body of Water for Two Boats</v>
      </c>
      <c r="B14" t="str">
        <f>IF(Projects[[#This Row],[Column1]]=Projects[[#This Row],[Project]],"Yes","No")</f>
        <v>Yes</v>
      </c>
      <c r="C14" t="s">
        <v>145</v>
      </c>
      <c r="D14" s="8" t="s">
        <v>658</v>
      </c>
      <c r="E14" s="8" t="s">
        <v>659</v>
      </c>
      <c r="F14" s="8" t="s">
        <v>621</v>
      </c>
      <c r="G14" s="8" t="s">
        <v>660</v>
      </c>
      <c r="H14" s="8" t="s">
        <v>661</v>
      </c>
      <c r="I14" s="8" t="s">
        <v>662</v>
      </c>
      <c r="J14" s="8" t="s">
        <v>663</v>
      </c>
      <c r="K14" s="8" t="s">
        <v>31</v>
      </c>
      <c r="L14" s="8" t="s">
        <v>611</v>
      </c>
    </row>
    <row r="15" spans="1:12" ht="144" x14ac:dyDescent="0.2">
      <c r="A15" t="str">
        <f>_xlfn.CONCAT(Projects[[#This Row],[Project Focus]], ": ", Projects[[#This Row],[Project Title]])</f>
        <v>Computer Science: Context-Aware Conversation Support with Augmented Reality and Generative AI</v>
      </c>
      <c r="B15" t="str">
        <f>IF(Projects[[#This Row],[Column1]]=Projects[[#This Row],[Project]],"Yes","No")</f>
        <v>Yes</v>
      </c>
      <c r="C15" t="s">
        <v>158</v>
      </c>
      <c r="D15" s="8" t="s">
        <v>664</v>
      </c>
      <c r="E15" s="8" t="s">
        <v>665</v>
      </c>
      <c r="F15" s="8" t="s">
        <v>666</v>
      </c>
      <c r="G15" s="8" t="s">
        <v>667</v>
      </c>
      <c r="H15" s="8" t="s">
        <v>668</v>
      </c>
      <c r="I15" s="8" t="s">
        <v>669</v>
      </c>
      <c r="J15" s="9" t="s">
        <v>670</v>
      </c>
      <c r="K15" s="8" t="s">
        <v>31</v>
      </c>
      <c r="L15" s="8" t="s">
        <v>611</v>
      </c>
    </row>
    <row r="16" spans="1:12" ht="409.6" x14ac:dyDescent="0.2">
      <c r="A16" t="str">
        <f>_xlfn.CONCAT(Projects[[#This Row],[Project Focus]], ": ", Projects[[#This Row],[Project Title]])</f>
        <v>Computer Science: Cybersecure Setup Photo Management System</v>
      </c>
      <c r="B16" t="str">
        <f>IF(Projects[[#This Row],[Column1]]=Projects[[#This Row],[Project]],"Yes","No")</f>
        <v>No</v>
      </c>
      <c r="D16" s="8" t="s">
        <v>671</v>
      </c>
      <c r="E16" s="8" t="s">
        <v>672</v>
      </c>
      <c r="F16" s="8" t="s">
        <v>673</v>
      </c>
      <c r="G16" s="8" t="s">
        <v>674</v>
      </c>
      <c r="H16" s="8" t="s">
        <v>675</v>
      </c>
      <c r="I16" s="8" t="s">
        <v>676</v>
      </c>
      <c r="J16" s="9" t="s">
        <v>677</v>
      </c>
      <c r="K16" s="8" t="s">
        <v>31</v>
      </c>
      <c r="L16" s="8" t="s">
        <v>611</v>
      </c>
    </row>
    <row r="17" spans="1:12" ht="222" x14ac:dyDescent="0.2">
      <c r="A17" t="str">
        <f>_xlfn.CONCAT(Projects[[#This Row],[Project Focus]], ": ", Projects[[#This Row],[Project Title]])</f>
        <v>Computer Science: Design Human-AI Collaboration Workflow for Creating and Consuming Asynchronous 3D Design Review</v>
      </c>
      <c r="B17" t="str">
        <f>IF(Projects[[#This Row],[Column1]]=Projects[[#This Row],[Project]],"Yes","No")</f>
        <v>No</v>
      </c>
      <c r="D17" s="8" t="s">
        <v>664</v>
      </c>
      <c r="E17" s="8" t="s">
        <v>665</v>
      </c>
      <c r="F17" s="8" t="s">
        <v>666</v>
      </c>
      <c r="G17" s="8" t="s">
        <v>667</v>
      </c>
      <c r="H17" s="8" t="s">
        <v>668</v>
      </c>
      <c r="I17" s="8" t="s">
        <v>678</v>
      </c>
      <c r="J17" s="9" t="s">
        <v>679</v>
      </c>
      <c r="K17" s="8" t="s">
        <v>31</v>
      </c>
      <c r="L17" s="8" t="s">
        <v>611</v>
      </c>
    </row>
    <row r="18" spans="1:12" x14ac:dyDescent="0.2">
      <c r="A18" t="str">
        <f>_xlfn.CONCAT(Projects[[#This Row],[Project Focus]], ": ", Projects[[#This Row],[Project Title]])</f>
        <v>Computer Science: Disaster Kitchen Support App</v>
      </c>
      <c r="B18" t="str">
        <f>IF(Projects[[#This Row],[Column1]]=Projects[[#This Row],[Project]],"Yes","No")</f>
        <v>No</v>
      </c>
      <c r="D18" s="8" t="s">
        <v>680</v>
      </c>
      <c r="E18" s="8" t="s">
        <v>681</v>
      </c>
      <c r="F18" s="8" t="s">
        <v>682</v>
      </c>
      <c r="G18" s="8" t="s">
        <v>660</v>
      </c>
      <c r="H18" s="8" t="s">
        <v>683</v>
      </c>
      <c r="I18" s="8" t="s">
        <v>684</v>
      </c>
      <c r="J18" s="8" t="s">
        <v>685</v>
      </c>
      <c r="K18" s="8" t="s">
        <v>31</v>
      </c>
      <c r="L18" s="8" t="s">
        <v>611</v>
      </c>
    </row>
    <row r="19" spans="1:12" ht="409.6" x14ac:dyDescent="0.2">
      <c r="A19" t="str">
        <f>_xlfn.CONCAT(Projects[[#This Row],[Project Focus]], ": ", Projects[[#This Row],[Project Title]])</f>
        <v>Computer Science: Embedded Programming Copilot Agent (IC-Specific AI Assistant)</v>
      </c>
      <c r="B19" t="str">
        <f>IF(Projects[[#This Row],[Column1]]=Projects[[#This Row],[Project]],"Yes","No")</f>
        <v>Yes</v>
      </c>
      <c r="C19" t="s">
        <v>171</v>
      </c>
      <c r="D19" s="8" t="s">
        <v>612</v>
      </c>
      <c r="E19" s="11" t="s">
        <v>613</v>
      </c>
      <c r="F19" s="8" t="s">
        <v>614</v>
      </c>
      <c r="G19" s="8" t="s">
        <v>615</v>
      </c>
      <c r="H19" s="8" t="s">
        <v>616</v>
      </c>
      <c r="I19" s="8" t="s">
        <v>686</v>
      </c>
      <c r="J19" s="9" t="s">
        <v>687</v>
      </c>
      <c r="K19" s="8" t="s">
        <v>31</v>
      </c>
      <c r="L19" s="8" t="s">
        <v>611</v>
      </c>
    </row>
    <row r="20" spans="1:12" ht="409.6" x14ac:dyDescent="0.2">
      <c r="A20" t="str">
        <f>_xlfn.CONCAT(Projects[[#This Row],[Project Focus]], ": ", Projects[[#This Row],[Project Title]])</f>
        <v>Computer Science: Framing by Design: Teaching Empathy and Problem Definition through Game-Based Learning</v>
      </c>
      <c r="B20" t="str">
        <f>IF(Projects[[#This Row],[Column1]]=Projects[[#This Row],[Project]],"Yes","No")</f>
        <v>Yes</v>
      </c>
      <c r="C20" t="s">
        <v>180</v>
      </c>
      <c r="D20" s="8" t="s">
        <v>688</v>
      </c>
      <c r="E20" s="8" t="s">
        <v>689</v>
      </c>
      <c r="F20" s="8" t="s">
        <v>690</v>
      </c>
      <c r="G20" s="8" t="s">
        <v>691</v>
      </c>
      <c r="H20" s="8" t="s">
        <v>692</v>
      </c>
      <c r="I20" s="8" t="s">
        <v>693</v>
      </c>
      <c r="J20" s="9" t="s">
        <v>694</v>
      </c>
      <c r="K20" s="8" t="s">
        <v>31</v>
      </c>
      <c r="L20" s="8" t="s">
        <v>611</v>
      </c>
    </row>
    <row r="21" spans="1:12" ht="261" x14ac:dyDescent="0.2">
      <c r="A21" t="str">
        <f>_xlfn.CONCAT(Projects[[#This Row],[Project Focus]], ": ", Projects[[#This Row],[Project Title]])</f>
        <v>Computer Science: Gamified Habit Tracker: Leveling Up Everyday Routines</v>
      </c>
      <c r="B21" t="str">
        <f>IF(Projects[[#This Row],[Column1]]=Projects[[#This Row],[Project]],"Yes","No")</f>
        <v>Yes</v>
      </c>
      <c r="C21" t="s">
        <v>189</v>
      </c>
      <c r="D21" s="8" t="s">
        <v>695</v>
      </c>
      <c r="E21" s="11" t="s">
        <v>187</v>
      </c>
      <c r="F21" s="8" t="s">
        <v>621</v>
      </c>
      <c r="G21" s="8" t="s">
        <v>622</v>
      </c>
      <c r="H21" s="8" t="s">
        <v>696</v>
      </c>
      <c r="I21" t="s">
        <v>697</v>
      </c>
      <c r="J21" s="9" t="s">
        <v>698</v>
      </c>
      <c r="K21" s="8" t="s">
        <v>31</v>
      </c>
      <c r="L21" s="12" t="s">
        <v>626</v>
      </c>
    </row>
    <row r="22" spans="1:12" ht="261" x14ac:dyDescent="0.2">
      <c r="A22" t="str">
        <f>_xlfn.CONCAT(Projects[[#This Row],[Project Focus]], ": ", Projects[[#This Row],[Project Title]])</f>
        <v>Computer Science: Green Vault - Uncovering hidden trade costs and analysis</v>
      </c>
      <c r="B22" t="str">
        <f>IF(Projects[[#This Row],[Column1]]=Projects[[#This Row],[Project]],"Yes","No")</f>
        <v>Yes</v>
      </c>
      <c r="C22" t="s">
        <v>200</v>
      </c>
      <c r="D22" s="8" t="s">
        <v>699</v>
      </c>
      <c r="E22" s="11" t="s">
        <v>198</v>
      </c>
      <c r="F22" s="8" t="s">
        <v>621</v>
      </c>
      <c r="G22" s="8" t="s">
        <v>622</v>
      </c>
      <c r="H22" s="8" t="s">
        <v>623</v>
      </c>
      <c r="I22" s="8" t="s">
        <v>700</v>
      </c>
      <c r="J22" s="9" t="s">
        <v>701</v>
      </c>
      <c r="K22" s="8" t="s">
        <v>31</v>
      </c>
      <c r="L22" s="8" t="s">
        <v>626</v>
      </c>
    </row>
    <row r="23" spans="1:12" ht="27" x14ac:dyDescent="0.2">
      <c r="A23" t="str">
        <f>_xlfn.CONCAT(Projects[[#This Row],[Project Focus]], ": ", Projects[[#This Row],[Project Title]])</f>
        <v>Computer Science: HandyMen Now</v>
      </c>
      <c r="B23" t="str">
        <f>IF(Projects[[#This Row],[Column1]]=Projects[[#This Row],[Project]],"Yes","No")</f>
        <v>Yes</v>
      </c>
      <c r="C23" t="s">
        <v>211</v>
      </c>
      <c r="D23" s="8" t="s">
        <v>702</v>
      </c>
      <c r="E23" s="11" t="s">
        <v>703</v>
      </c>
      <c r="F23" s="8" t="s">
        <v>621</v>
      </c>
      <c r="G23" s="8" t="s">
        <v>622</v>
      </c>
      <c r="H23" s="8" t="s">
        <v>623</v>
      </c>
      <c r="I23" s="17" t="s">
        <v>704</v>
      </c>
      <c r="J23" s="15" t="s">
        <v>705</v>
      </c>
      <c r="K23" s="8" t="s">
        <v>31</v>
      </c>
      <c r="L23" s="16"/>
    </row>
    <row r="24" spans="1:12" ht="66" x14ac:dyDescent="0.2">
      <c r="A24" t="str">
        <f>_xlfn.CONCAT(Projects[[#This Row],[Project Focus]], ": ", Projects[[#This Row],[Project Title]])</f>
        <v>Computer Science: HouseholdHub</v>
      </c>
      <c r="B24" t="str">
        <f>IF(Projects[[#This Row],[Column1]]=Projects[[#This Row],[Project]],"Yes","No")</f>
        <v>Yes</v>
      </c>
      <c r="C24" t="s">
        <v>222</v>
      </c>
      <c r="D24" s="8" t="s">
        <v>706</v>
      </c>
      <c r="E24" s="11" t="s">
        <v>227</v>
      </c>
      <c r="F24" s="8" t="s">
        <v>621</v>
      </c>
      <c r="G24" s="8" t="s">
        <v>622</v>
      </c>
      <c r="H24" s="8" t="s">
        <v>623</v>
      </c>
      <c r="I24" s="8" t="s">
        <v>707</v>
      </c>
      <c r="J24" s="9" t="s">
        <v>708</v>
      </c>
      <c r="K24" s="8" t="s">
        <v>31</v>
      </c>
      <c r="L24" s="8" t="s">
        <v>626</v>
      </c>
    </row>
    <row r="25" spans="1:12" x14ac:dyDescent="0.2">
      <c r="A25" t="str">
        <f>_xlfn.CONCAT(Projects[[#This Row],[Project Focus]], ": ", Projects[[#This Row],[Project Title]])</f>
        <v>Computer Science: LearnCode Game</v>
      </c>
      <c r="B25" t="str">
        <f>IF(Projects[[#This Row],[Column1]]=Projects[[#This Row],[Project]],"Yes","No")</f>
        <v>Yes</v>
      </c>
      <c r="C25" t="s">
        <v>233</v>
      </c>
      <c r="D25" s="8" t="s">
        <v>709</v>
      </c>
      <c r="E25" s="8" t="s">
        <v>231</v>
      </c>
      <c r="F25" s="8" t="s">
        <v>621</v>
      </c>
      <c r="G25" s="8" t="s">
        <v>622</v>
      </c>
      <c r="H25" s="8" t="s">
        <v>623</v>
      </c>
      <c r="I25" s="8" t="s">
        <v>710</v>
      </c>
      <c r="J25" s="9"/>
      <c r="K25" s="8" t="s">
        <v>31</v>
      </c>
      <c r="L25" s="8"/>
    </row>
    <row r="26" spans="1:12" ht="409.6" x14ac:dyDescent="0.2">
      <c r="A26" t="str">
        <f>_xlfn.CONCAT(Projects[[#This Row],[Project Focus]], ": ", Projects[[#This Row],[Project Title]])</f>
        <v>Computer Science: Loan Validation</v>
      </c>
      <c r="B26" t="str">
        <f>IF(Projects[[#This Row],[Column1]]=Projects[[#This Row],[Project]],"Yes","No")</f>
        <v>No</v>
      </c>
      <c r="D26" s="8" t="s">
        <v>612</v>
      </c>
      <c r="E26" s="11" t="s">
        <v>613</v>
      </c>
      <c r="F26" s="8" t="s">
        <v>614</v>
      </c>
      <c r="G26" s="8" t="s">
        <v>615</v>
      </c>
      <c r="H26" s="8" t="s">
        <v>616</v>
      </c>
      <c r="I26" s="8" t="s">
        <v>711</v>
      </c>
      <c r="J26" s="9" t="s">
        <v>712</v>
      </c>
      <c r="K26" s="8" t="s">
        <v>31</v>
      </c>
      <c r="L26" s="8" t="s">
        <v>619</v>
      </c>
    </row>
    <row r="27" spans="1:12" ht="409.6" x14ac:dyDescent="0.2">
      <c r="A27" t="str">
        <f>_xlfn.CONCAT(Projects[[#This Row],[Project Focus]], ": ", Projects[[#This Row],[Project Title]])</f>
        <v>Computer Science: Log Intelligence for Energy &amp; Sustainability</v>
      </c>
      <c r="B27" t="str">
        <f>IF(Projects[[#This Row],[Column1]]=Projects[[#This Row],[Project]],"Yes","No")</f>
        <v>No</v>
      </c>
      <c r="D27" s="8" t="s">
        <v>612</v>
      </c>
      <c r="E27" s="8" t="s">
        <v>613</v>
      </c>
      <c r="F27" s="8" t="s">
        <v>614</v>
      </c>
      <c r="G27" s="8" t="s">
        <v>615</v>
      </c>
      <c r="H27" s="8" t="s">
        <v>616</v>
      </c>
      <c r="I27" s="8" t="s">
        <v>713</v>
      </c>
      <c r="J27" s="9" t="s">
        <v>714</v>
      </c>
      <c r="K27" s="8" t="s">
        <v>31</v>
      </c>
      <c r="L27" s="8" t="s">
        <v>619</v>
      </c>
    </row>
    <row r="28" spans="1:12" x14ac:dyDescent="0.2">
      <c r="A28" t="str">
        <f>_xlfn.CONCAT(Projects[[#This Row],[Project Focus]], ": ", Projects[[#This Row],[Project Title]])</f>
        <v>Computer Science: Mobile app for coding practice</v>
      </c>
      <c r="B28" t="str">
        <f>IF(Projects[[#This Row],[Column1]]=Projects[[#This Row],[Project]],"Yes","No")</f>
        <v>Yes</v>
      </c>
      <c r="C28" t="s">
        <v>251</v>
      </c>
      <c r="D28" s="8" t="s">
        <v>715</v>
      </c>
      <c r="E28" s="11" t="s">
        <v>254</v>
      </c>
      <c r="F28" s="8" t="s">
        <v>621</v>
      </c>
      <c r="G28" s="8" t="s">
        <v>622</v>
      </c>
      <c r="H28" s="8" t="s">
        <v>623</v>
      </c>
      <c r="I28" s="8" t="s">
        <v>716</v>
      </c>
      <c r="J28" s="9" t="s">
        <v>717</v>
      </c>
      <c r="K28" s="8" t="s">
        <v>31</v>
      </c>
      <c r="L28" s="12" t="s">
        <v>626</v>
      </c>
    </row>
    <row r="29" spans="1:12" x14ac:dyDescent="0.2">
      <c r="A29" t="str">
        <f>_xlfn.CONCAT(Projects[[#This Row],[Project Focus]], ": ", Projects[[#This Row],[Project Title]])</f>
        <v>Computer Science: Mobile app for cognitive skill assessment</v>
      </c>
      <c r="B29" t="str">
        <f>IF(Projects[[#This Row],[Column1]]=Projects[[#This Row],[Project]],"Yes","No")</f>
        <v>No</v>
      </c>
      <c r="D29" s="8" t="s">
        <v>639</v>
      </c>
      <c r="E29" s="8" t="s">
        <v>640</v>
      </c>
      <c r="F29" s="8" t="s">
        <v>621</v>
      </c>
      <c r="G29" s="8" t="s">
        <v>641</v>
      </c>
      <c r="H29" s="8" t="s">
        <v>631</v>
      </c>
      <c r="I29" s="8" t="s">
        <v>718</v>
      </c>
      <c r="J29" s="8" t="s">
        <v>719</v>
      </c>
      <c r="K29" s="8" t="s">
        <v>31</v>
      </c>
      <c r="L29" s="8" t="s">
        <v>619</v>
      </c>
    </row>
    <row r="30" spans="1:12" ht="27" x14ac:dyDescent="0.2">
      <c r="A30" t="str">
        <f>_xlfn.CONCAT(Projects[[#This Row],[Project Focus]], ": ", Projects[[#This Row],[Project Title]])</f>
        <v>Computer Science: Mood-Based Playlist Recommender</v>
      </c>
      <c r="B30" t="str">
        <f>IF(Projects[[#This Row],[Column1]]=Projects[[#This Row],[Project]],"Yes","No")</f>
        <v>Yes</v>
      </c>
      <c r="C30" t="s">
        <v>258</v>
      </c>
      <c r="D30" s="8" t="s">
        <v>720</v>
      </c>
      <c r="E30" s="11" t="s">
        <v>256</v>
      </c>
      <c r="F30" s="8" t="s">
        <v>621</v>
      </c>
      <c r="G30" s="8" t="s">
        <v>622</v>
      </c>
      <c r="H30" s="8" t="s">
        <v>623</v>
      </c>
      <c r="I30" s="8" t="s">
        <v>721</v>
      </c>
      <c r="J30" s="9" t="s">
        <v>722</v>
      </c>
      <c r="K30" s="8" t="s">
        <v>31</v>
      </c>
      <c r="L30" s="8" t="s">
        <v>626</v>
      </c>
    </row>
    <row r="31" spans="1:12" ht="157" x14ac:dyDescent="0.2">
      <c r="A31" t="str">
        <f>_xlfn.CONCAT(Projects[[#This Row],[Project Focus]], ": ", Projects[[#This Row],[Project Title]])</f>
        <v>Computer Science: MyMedCab - Medication Management System</v>
      </c>
      <c r="B31" t="str">
        <f>IF(Projects[[#This Row],[Column1]]=Projects[[#This Row],[Project]],"Yes","No")</f>
        <v>Yes</v>
      </c>
      <c r="C31" t="s">
        <v>269</v>
      </c>
      <c r="D31" s="8" t="s">
        <v>723</v>
      </c>
      <c r="E31" s="11" t="s">
        <v>267</v>
      </c>
      <c r="F31" s="8" t="s">
        <v>621</v>
      </c>
      <c r="G31" s="8" t="s">
        <v>622</v>
      </c>
      <c r="H31" s="8" t="s">
        <v>623</v>
      </c>
      <c r="I31" s="8" t="s">
        <v>724</v>
      </c>
      <c r="J31" s="9" t="s">
        <v>725</v>
      </c>
      <c r="K31" s="8" t="s">
        <v>31</v>
      </c>
      <c r="L31" s="8"/>
    </row>
    <row r="32" spans="1:12" x14ac:dyDescent="0.2">
      <c r="A32" t="str">
        <f>_xlfn.CONCAT(Projects[[#This Row],[Project Focus]], ": ", Projects[[#This Row],[Project Title]])</f>
        <v>Computer Science: Place Holder 24</v>
      </c>
      <c r="B32" t="str">
        <f>IF(Projects[[#This Row],[Column1]]=Projects[[#This Row],[Project]],"Yes","No")</f>
        <v>No</v>
      </c>
      <c r="D32" s="8"/>
      <c r="E32" s="8"/>
      <c r="F32" s="8" t="s">
        <v>621</v>
      </c>
      <c r="G32" s="8" t="s">
        <v>622</v>
      </c>
      <c r="H32" s="8" t="s">
        <v>623</v>
      </c>
      <c r="I32" s="8" t="s">
        <v>726</v>
      </c>
      <c r="J32" s="9"/>
      <c r="K32" s="8" t="s">
        <v>31</v>
      </c>
      <c r="L32" s="8"/>
    </row>
    <row r="33" spans="1:12" x14ac:dyDescent="0.2">
      <c r="A33" t="str">
        <f>_xlfn.CONCAT(Projects[[#This Row],[Project Focus]], ": ", Projects[[#This Row],[Project Title]])</f>
        <v>Computer Science: Place Holder 25</v>
      </c>
      <c r="B33" t="str">
        <f>IF(Projects[[#This Row],[Column1]]=Projects[[#This Row],[Project]],"Yes","No")</f>
        <v>No</v>
      </c>
      <c r="D33" s="8"/>
      <c r="E33" s="8"/>
      <c r="F33" s="8" t="s">
        <v>621</v>
      </c>
      <c r="G33" s="8" t="s">
        <v>622</v>
      </c>
      <c r="H33" s="8" t="s">
        <v>623</v>
      </c>
      <c r="I33" s="8" t="s">
        <v>727</v>
      </c>
      <c r="J33" s="9"/>
      <c r="K33" s="8" t="s">
        <v>31</v>
      </c>
      <c r="L33" s="8"/>
    </row>
    <row r="34" spans="1:12" x14ac:dyDescent="0.2">
      <c r="A34" t="str">
        <f>_xlfn.CONCAT(Projects[[#This Row],[Project Focus]], ": ", Projects[[#This Row],[Project Title]])</f>
        <v>Computer Science: Place Holder 26</v>
      </c>
      <c r="B34" t="str">
        <f>IF(Projects[[#This Row],[Column1]]=Projects[[#This Row],[Project]],"Yes","No")</f>
        <v>No</v>
      </c>
      <c r="D34" s="8"/>
      <c r="E34" s="8"/>
      <c r="F34" s="8" t="s">
        <v>621</v>
      </c>
      <c r="G34" s="8" t="s">
        <v>622</v>
      </c>
      <c r="H34" s="8" t="s">
        <v>623</v>
      </c>
      <c r="I34" s="8" t="s">
        <v>728</v>
      </c>
      <c r="J34" s="9"/>
      <c r="K34" s="8" t="s">
        <v>31</v>
      </c>
      <c r="L34" s="8"/>
    </row>
    <row r="35" spans="1:12" x14ac:dyDescent="0.2">
      <c r="A35" t="str">
        <f>_xlfn.CONCAT(Projects[[#This Row],[Project Focus]], ": ", Projects[[#This Row],[Project Title]])</f>
        <v>Computer Science: Place Holder 27</v>
      </c>
      <c r="B35" t="str">
        <f>IF(Projects[[#This Row],[Column1]]=Projects[[#This Row],[Project]],"Yes","No")</f>
        <v>No</v>
      </c>
      <c r="D35" s="8"/>
      <c r="E35" s="11"/>
      <c r="F35" s="8" t="s">
        <v>621</v>
      </c>
      <c r="G35" s="8" t="s">
        <v>622</v>
      </c>
      <c r="H35" s="8" t="s">
        <v>623</v>
      </c>
      <c r="I35" s="8" t="s">
        <v>729</v>
      </c>
      <c r="J35" s="9"/>
      <c r="K35" s="8" t="s">
        <v>31</v>
      </c>
      <c r="L35" s="8"/>
    </row>
    <row r="36" spans="1:12" x14ac:dyDescent="0.2">
      <c r="A36" t="str">
        <f>_xlfn.CONCAT(Projects[[#This Row],[Project Focus]], ": ", Projects[[#This Row],[Project Title]])</f>
        <v>Computer Science: Place Holder 30</v>
      </c>
      <c r="B36" t="str">
        <f>IF(Projects[[#This Row],[Column1]]=Projects[[#This Row],[Project]],"Yes","No")</f>
        <v>No</v>
      </c>
      <c r="D36" s="8"/>
      <c r="E36" s="8"/>
      <c r="F36" s="8" t="s">
        <v>621</v>
      </c>
      <c r="G36" s="8" t="s">
        <v>622</v>
      </c>
      <c r="H36" s="8" t="s">
        <v>623</v>
      </c>
      <c r="I36" s="8" t="s">
        <v>730</v>
      </c>
      <c r="J36" s="9"/>
      <c r="K36" s="8" t="s">
        <v>31</v>
      </c>
      <c r="L36" s="8"/>
    </row>
    <row r="37" spans="1:12" x14ac:dyDescent="0.2">
      <c r="A37" t="str">
        <f>_xlfn.CONCAT(Projects[[#This Row],[Project Focus]], ": ", Projects[[#This Row],[Project Title]])</f>
        <v>Computer Science: Place Holder 31</v>
      </c>
      <c r="B37" t="str">
        <f>IF(Projects[[#This Row],[Column1]]=Projects[[#This Row],[Project]],"Yes","No")</f>
        <v>No</v>
      </c>
      <c r="D37" s="1" t="s">
        <v>731</v>
      </c>
      <c r="E37" s="14" t="s">
        <v>320</v>
      </c>
      <c r="F37" s="8" t="s">
        <v>621</v>
      </c>
      <c r="G37" s="8" t="s">
        <v>622</v>
      </c>
      <c r="H37" s="8" t="s">
        <v>623</v>
      </c>
      <c r="I37" s="8" t="s">
        <v>732</v>
      </c>
      <c r="J37" s="9"/>
      <c r="K37" s="8" t="s">
        <v>31</v>
      </c>
      <c r="L37" s="8"/>
    </row>
    <row r="38" spans="1:12" ht="409.6" x14ac:dyDescent="0.2">
      <c r="A38" t="str">
        <f>_xlfn.CONCAT(Projects[[#This Row],[Project Focus]], ": ", Projects[[#This Row],[Project Title]])</f>
        <v>Computer Science: Predictive Storage Space Optimization Agent</v>
      </c>
      <c r="B38" t="str">
        <f>IF(Projects[[#This Row],[Column1]]=Projects[[#This Row],[Project]],"Yes","No")</f>
        <v>No</v>
      </c>
      <c r="D38" s="8" t="s">
        <v>612</v>
      </c>
      <c r="E38" s="8" t="s">
        <v>613</v>
      </c>
      <c r="F38" s="8" t="s">
        <v>614</v>
      </c>
      <c r="G38" s="8" t="s">
        <v>615</v>
      </c>
      <c r="H38" s="8" t="s">
        <v>616</v>
      </c>
      <c r="I38" s="8" t="s">
        <v>733</v>
      </c>
      <c r="J38" s="9" t="s">
        <v>734</v>
      </c>
      <c r="K38" s="8" t="s">
        <v>31</v>
      </c>
      <c r="L38" s="8" t="s">
        <v>611</v>
      </c>
    </row>
    <row r="39" spans="1:12" ht="40" x14ac:dyDescent="0.2">
      <c r="A39" t="str">
        <f>_xlfn.CONCAT(Projects[[#This Row],[Project Focus]], ": ", Projects[[#This Row],[Project Title]])</f>
        <v>Computer Science: Resume Screening AI</v>
      </c>
      <c r="B39" t="str">
        <f>IF(Projects[[#This Row],[Column1]]=Projects[[#This Row],[Project]],"Yes","No")</f>
        <v>Yes</v>
      </c>
      <c r="C39" t="s">
        <v>280</v>
      </c>
      <c r="D39" s="8" t="s">
        <v>735</v>
      </c>
      <c r="E39" s="11" t="s">
        <v>278</v>
      </c>
      <c r="F39" s="8" t="s">
        <v>621</v>
      </c>
      <c r="G39" s="8" t="s">
        <v>622</v>
      </c>
      <c r="H39" s="8" t="s">
        <v>623</v>
      </c>
      <c r="I39" s="8" t="s">
        <v>736</v>
      </c>
      <c r="J39" s="9" t="s">
        <v>737</v>
      </c>
      <c r="K39" s="8" t="s">
        <v>31</v>
      </c>
      <c r="L39" s="8" t="s">
        <v>626</v>
      </c>
    </row>
    <row r="40" spans="1:12" ht="196" x14ac:dyDescent="0.2">
      <c r="A40" t="str">
        <f>_xlfn.CONCAT(Projects[[#This Row],[Project Focus]], ": ", Projects[[#This Row],[Project Title]])</f>
        <v>Computer Science: SHE&lt;Codes/&gt; - Inspiring Young Women and Queer Youth in STEM</v>
      </c>
      <c r="B40" t="str">
        <f>IF(Projects[[#This Row],[Column1]]=Projects[[#This Row],[Project]],"Yes","No")</f>
        <v>Yes</v>
      </c>
      <c r="C40" t="s">
        <v>291</v>
      </c>
      <c r="D40" s="8" t="s">
        <v>738</v>
      </c>
      <c r="E40" s="11" t="s">
        <v>289</v>
      </c>
      <c r="F40" s="8" t="s">
        <v>621</v>
      </c>
      <c r="G40" s="8" t="s">
        <v>622</v>
      </c>
      <c r="H40" s="8" t="s">
        <v>623</v>
      </c>
      <c r="I40" s="12" t="s">
        <v>739</v>
      </c>
      <c r="J40" s="9" t="s">
        <v>740</v>
      </c>
      <c r="K40" s="8" t="s">
        <v>31</v>
      </c>
      <c r="L40" s="8" t="s">
        <v>741</v>
      </c>
    </row>
    <row r="41" spans="1:12" ht="66" x14ac:dyDescent="0.2">
      <c r="A41" t="str">
        <f>_xlfn.CONCAT(Projects[[#This Row],[Project Focus]], ": ", Projects[[#This Row],[Project Title]])</f>
        <v xml:space="preserve">Computer Science: Smart Appointment Scheduler </v>
      </c>
      <c r="B41" t="str">
        <f>IF(Projects[[#This Row],[Column1]]=Projects[[#This Row],[Project]],"Yes","No")</f>
        <v>Yes</v>
      </c>
      <c r="C41" t="s">
        <v>302</v>
      </c>
      <c r="D41" s="1" t="s">
        <v>742</v>
      </c>
      <c r="E41" s="24" t="s">
        <v>300</v>
      </c>
      <c r="F41" s="8" t="s">
        <v>621</v>
      </c>
      <c r="G41" s="8" t="s">
        <v>622</v>
      </c>
      <c r="H41" s="8" t="s">
        <v>623</v>
      </c>
      <c r="I41" s="8" t="s">
        <v>743</v>
      </c>
      <c r="J41" s="9" t="s">
        <v>744</v>
      </c>
      <c r="K41" s="8" t="s">
        <v>31</v>
      </c>
      <c r="L41" s="8"/>
    </row>
    <row r="42" spans="1:12" x14ac:dyDescent="0.2">
      <c r="A42" t="str">
        <f>_xlfn.CONCAT(Projects[[#This Row],[Project Focus]], ": ", Projects[[#This Row],[Project Title]])</f>
        <v>Computer Science: Smartphone-based TBI assessment</v>
      </c>
      <c r="B42" t="str">
        <f>IF(Projects[[#This Row],[Column1]]=Projects[[#This Row],[Project]],"Yes","No")</f>
        <v>No</v>
      </c>
      <c r="D42" s="8" t="s">
        <v>639</v>
      </c>
      <c r="E42" s="8" t="s">
        <v>640</v>
      </c>
      <c r="F42" s="8" t="s">
        <v>621</v>
      </c>
      <c r="G42" s="8" t="s">
        <v>641</v>
      </c>
      <c r="H42" s="8" t="s">
        <v>631</v>
      </c>
      <c r="I42" s="8" t="s">
        <v>745</v>
      </c>
      <c r="J42" s="8" t="s">
        <v>746</v>
      </c>
      <c r="K42" s="8" t="s">
        <v>31</v>
      </c>
      <c r="L42" s="8" t="s">
        <v>619</v>
      </c>
    </row>
    <row r="43" spans="1:12" ht="209" x14ac:dyDescent="0.2">
      <c r="A43" t="str">
        <f>_xlfn.CONCAT(Projects[[#This Row],[Project Focus]], ": ", Projects[[#This Row],[Project Title]])</f>
        <v>Computer Science: SpineWise</v>
      </c>
      <c r="B43" t="str">
        <f>IF(Projects[[#This Row],[Column1]]=Projects[[#This Row],[Project]],"Yes","No")</f>
        <v>No</v>
      </c>
      <c r="D43" s="8" t="s">
        <v>747</v>
      </c>
      <c r="E43" s="11" t="s">
        <v>309</v>
      </c>
      <c r="F43" s="8" t="s">
        <v>621</v>
      </c>
      <c r="G43" s="8" t="s">
        <v>622</v>
      </c>
      <c r="H43" s="8" t="s">
        <v>623</v>
      </c>
      <c r="I43" s="8" t="s">
        <v>748</v>
      </c>
      <c r="J43" s="9" t="s">
        <v>749</v>
      </c>
      <c r="K43" s="8" t="s">
        <v>31</v>
      </c>
      <c r="L43" s="8" t="s">
        <v>611</v>
      </c>
    </row>
    <row r="44" spans="1:12" x14ac:dyDescent="0.2">
      <c r="A44" t="str">
        <f>_xlfn.CONCAT(Projects[[#This Row],[Project Focus]], ": ", Projects[[#This Row],[Project Title]])</f>
        <v>Computer Science: Staria Workout App</v>
      </c>
      <c r="B44" t="str">
        <f>IF(Projects[[#This Row],[Column1]]=Projects[[#This Row],[Project]],"Yes","No")</f>
        <v>Yes</v>
      </c>
      <c r="C44" t="s">
        <v>322</v>
      </c>
      <c r="D44" t="s">
        <v>731</v>
      </c>
      <c r="E44" t="s">
        <v>320</v>
      </c>
      <c r="F44" s="8" t="s">
        <v>621</v>
      </c>
      <c r="G44" s="8" t="s">
        <v>622</v>
      </c>
      <c r="H44" s="8" t="s">
        <v>623</v>
      </c>
      <c r="I44" s="8" t="s">
        <v>750</v>
      </c>
      <c r="J44" t="s">
        <v>751</v>
      </c>
      <c r="K44" s="8" t="s">
        <v>31</v>
      </c>
      <c r="L44" s="8" t="s">
        <v>611</v>
      </c>
    </row>
    <row r="45" spans="1:12" ht="409.6" x14ac:dyDescent="0.2">
      <c r="A45" t="str">
        <f>_xlfn.CONCAT(Projects[[#This Row],[Project Focus]], ": ", Projects[[#This Row],[Project Title]])</f>
        <v>Computer Science: Stress and anxiety management app</v>
      </c>
      <c r="B45" t="str">
        <f>IF(Projects[[#This Row],[Column1]]=Projects[[#This Row],[Project]],"Yes","No")</f>
        <v>Yes</v>
      </c>
      <c r="C45" t="s">
        <v>331</v>
      </c>
      <c r="D45" s="8" t="s">
        <v>752</v>
      </c>
      <c r="E45" s="11" t="s">
        <v>752</v>
      </c>
      <c r="F45" s="8" t="s">
        <v>753</v>
      </c>
      <c r="G45" s="8" t="s">
        <v>607</v>
      </c>
      <c r="H45" s="8" t="s">
        <v>754</v>
      </c>
      <c r="I45" s="8" t="s">
        <v>755</v>
      </c>
      <c r="J45" s="9" t="s">
        <v>756</v>
      </c>
      <c r="K45" s="8" t="s">
        <v>31</v>
      </c>
      <c r="L45" s="8" t="s">
        <v>611</v>
      </c>
    </row>
    <row r="46" spans="1:12" ht="79" x14ac:dyDescent="0.2">
      <c r="A46" t="str">
        <f>_xlfn.CONCAT(Projects[[#This Row],[Project Focus]], ": ", Projects[[#This Row],[Project Title]])</f>
        <v>Computer Science: Synthetic L3 Orderbook Data Generator</v>
      </c>
      <c r="B46" t="str">
        <f>IF(Projects[[#This Row],[Column1]]=Projects[[#This Row],[Project]],"Yes","No")</f>
        <v>Yes</v>
      </c>
      <c r="C46" t="s">
        <v>340</v>
      </c>
      <c r="D46" s="8" t="s">
        <v>757</v>
      </c>
      <c r="E46" s="11" t="s">
        <v>338</v>
      </c>
      <c r="F46" s="8" t="s">
        <v>621</v>
      </c>
      <c r="G46" s="8" t="s">
        <v>622</v>
      </c>
      <c r="H46" s="8" t="s">
        <v>623</v>
      </c>
      <c r="I46" s="8" t="s">
        <v>758</v>
      </c>
      <c r="J46" s="9" t="s">
        <v>759</v>
      </c>
      <c r="K46" s="8" t="s">
        <v>31</v>
      </c>
      <c r="L46" s="8"/>
    </row>
    <row r="47" spans="1:12" ht="27" x14ac:dyDescent="0.2">
      <c r="A47" t="str">
        <f>_xlfn.CONCAT(Projects[[#This Row],[Project Focus]], ": ", Projects[[#This Row],[Project Title]])</f>
        <v>Computer Science: Tailored Tails</v>
      </c>
      <c r="B47" t="str">
        <f>IF(Projects[[#This Row],[Column1]]=Projects[[#This Row],[Project]],"Yes","No")</f>
        <v>Yes</v>
      </c>
      <c r="C47" t="s">
        <v>347</v>
      </c>
      <c r="D47" s="8" t="s">
        <v>760</v>
      </c>
      <c r="E47" s="11" t="s">
        <v>761</v>
      </c>
      <c r="F47" s="8" t="s">
        <v>621</v>
      </c>
      <c r="G47" s="8" t="s">
        <v>622</v>
      </c>
      <c r="H47" s="8" t="s">
        <v>623</v>
      </c>
      <c r="I47" s="8" t="s">
        <v>762</v>
      </c>
      <c r="J47" s="9" t="s">
        <v>763</v>
      </c>
      <c r="K47" s="8" t="s">
        <v>31</v>
      </c>
      <c r="L47" s="8" t="s">
        <v>626</v>
      </c>
    </row>
    <row r="48" spans="1:12" ht="53" x14ac:dyDescent="0.2">
      <c r="A48" t="str">
        <f>_xlfn.CONCAT(Projects[[#This Row],[Project Focus]], ": ", Projects[[#This Row],[Project Title]])</f>
        <v>Computer Science: TapIn MMA</v>
      </c>
      <c r="B48" t="str">
        <f>IF(Projects[[#This Row],[Column1]]=Projects[[#This Row],[Project]],"Yes","No")</f>
        <v>Yes</v>
      </c>
      <c r="C48" t="s">
        <v>356</v>
      </c>
      <c r="D48" s="8" t="s">
        <v>764</v>
      </c>
      <c r="E48" s="11" t="s">
        <v>354</v>
      </c>
      <c r="F48" s="8" t="s">
        <v>621</v>
      </c>
      <c r="G48" s="8" t="s">
        <v>622</v>
      </c>
      <c r="H48" s="8" t="s">
        <v>623</v>
      </c>
      <c r="I48" s="8" t="s">
        <v>765</v>
      </c>
      <c r="J48" s="9" t="s">
        <v>766</v>
      </c>
      <c r="K48" s="8" t="s">
        <v>31</v>
      </c>
      <c r="L48" s="8" t="s">
        <v>767</v>
      </c>
    </row>
    <row r="49" spans="1:12" ht="27" x14ac:dyDescent="0.2">
      <c r="A49" t="str">
        <f>_xlfn.CONCAT(Projects[[#This Row],[Project Focus]], ": ", Projects[[#This Row],[Project Title]])</f>
        <v>Computer Science: TrueDoor</v>
      </c>
      <c r="B49" t="str">
        <f>IF(Projects[[#This Row],[Column1]]=Projects[[#This Row],[Project]],"Yes","No")</f>
        <v>Yes</v>
      </c>
      <c r="C49" t="s">
        <v>365</v>
      </c>
      <c r="D49" s="8" t="s">
        <v>768</v>
      </c>
      <c r="E49" s="11" t="s">
        <v>363</v>
      </c>
      <c r="F49" s="8" t="s">
        <v>621</v>
      </c>
      <c r="G49" s="8" t="s">
        <v>622</v>
      </c>
      <c r="H49" s="8" t="s">
        <v>623</v>
      </c>
      <c r="I49" s="8" t="s">
        <v>769</v>
      </c>
      <c r="J49" s="9" t="s">
        <v>770</v>
      </c>
      <c r="K49" s="8" t="s">
        <v>31</v>
      </c>
      <c r="L49" s="8" t="s">
        <v>626</v>
      </c>
    </row>
    <row r="50" spans="1:12" ht="393" x14ac:dyDescent="0.2">
      <c r="A50" t="str">
        <f>_xlfn.CONCAT(Projects[[#This Row],[Project Focus]], ": ", Projects[[#This Row],[Project Title]])</f>
        <v>Computer Science: Wholesale Hub: Distributor‑First B2B Restocking MVP (CPG &amp; Beauty)</v>
      </c>
      <c r="B50" t="str">
        <f>IF(Projects[[#This Row],[Column1]]=Projects[[#This Row],[Project]],"Yes","No")</f>
        <v>No</v>
      </c>
      <c r="D50" s="8" t="s">
        <v>771</v>
      </c>
      <c r="E50" s="8" t="s">
        <v>772</v>
      </c>
      <c r="F50" s="8" t="s">
        <v>773</v>
      </c>
      <c r="G50" s="8" t="s">
        <v>774</v>
      </c>
      <c r="H50" s="8" t="s">
        <v>775</v>
      </c>
      <c r="I50" s="8" t="s">
        <v>776</v>
      </c>
      <c r="J50" s="9" t="s">
        <v>777</v>
      </c>
      <c r="K50" s="8" t="s">
        <v>31</v>
      </c>
      <c r="L50" s="8" t="s">
        <v>611</v>
      </c>
    </row>
    <row r="51" spans="1:12" ht="309" x14ac:dyDescent="0.2">
      <c r="A51" t="str">
        <f>_xlfn.CONCAT(Projects[[#This Row],[Project Focus]], ": ", Projects[[#This Row],[Project Title]])</f>
        <v>Cybersecurity: AI Race Strategist</v>
      </c>
      <c r="B51" t="str">
        <f>IF(Projects[[#This Row],[Column1]]=Projects[[#This Row],[Project]],"Yes","No")</f>
        <v>Yes</v>
      </c>
      <c r="C51" t="s">
        <v>384</v>
      </c>
      <c r="D51" s="8" t="s">
        <v>778</v>
      </c>
      <c r="E51" s="11" t="s">
        <v>389</v>
      </c>
      <c r="F51" s="8" t="s">
        <v>621</v>
      </c>
      <c r="G51" s="8" t="s">
        <v>622</v>
      </c>
      <c r="H51" s="8" t="s">
        <v>623</v>
      </c>
      <c r="I51" s="8" t="s">
        <v>779</v>
      </c>
      <c r="J51" s="9" t="s">
        <v>780</v>
      </c>
      <c r="K51" s="8" t="s">
        <v>383</v>
      </c>
      <c r="L51" s="13" t="s">
        <v>611</v>
      </c>
    </row>
    <row r="52" spans="1:12" x14ac:dyDescent="0.2">
      <c r="A52" t="str">
        <f>_xlfn.CONCAT(Projects[[#This Row],[Project Focus]], ": ", Projects[[#This Row],[Project Title]])</f>
        <v xml:space="preserve">Cybersecurity: AI Race Strategist </v>
      </c>
      <c r="B52" t="str">
        <f>IF(Projects[[#This Row],[Column1]]=Projects[[#This Row],[Project]],"Yes","No")</f>
        <v>No</v>
      </c>
      <c r="D52" s="8" t="s">
        <v>781</v>
      </c>
      <c r="E52" s="11" t="s">
        <v>385</v>
      </c>
      <c r="F52" s="8" t="s">
        <v>621</v>
      </c>
      <c r="G52" s="8" t="s">
        <v>622</v>
      </c>
      <c r="H52" s="8" t="s">
        <v>623</v>
      </c>
      <c r="I52" s="8" t="s">
        <v>782</v>
      </c>
      <c r="J52" t="s">
        <v>783</v>
      </c>
      <c r="K52" s="8" t="s">
        <v>383</v>
      </c>
      <c r="L52" s="13" t="s">
        <v>611</v>
      </c>
    </row>
    <row r="53" spans="1:12" x14ac:dyDescent="0.2">
      <c r="A53" t="str">
        <f>_xlfn.CONCAT(Projects[[#This Row],[Project Focus]], ": ", Projects[[#This Row],[Project Title]])</f>
        <v xml:space="preserve">Cybersecurity: Cybersecurity: Training Simulator for Cyber Security Employee </v>
      </c>
      <c r="B53" t="str">
        <f>IF(Projects[[#This Row],[Column1]]=Projects[[#This Row],[Project]],"Yes","No")</f>
        <v>Yes</v>
      </c>
      <c r="C53" t="s">
        <v>395</v>
      </c>
      <c r="D53" s="8" t="s">
        <v>784</v>
      </c>
      <c r="E53" t="s">
        <v>393</v>
      </c>
      <c r="F53" s="8" t="s">
        <v>621</v>
      </c>
      <c r="G53" s="8" t="s">
        <v>622</v>
      </c>
      <c r="H53" s="8" t="s">
        <v>623</v>
      </c>
      <c r="I53" s="8" t="s">
        <v>785</v>
      </c>
      <c r="J53" s="18" t="s">
        <v>786</v>
      </c>
      <c r="K53" s="8" t="s">
        <v>383</v>
      </c>
      <c r="L53" s="8" t="s">
        <v>611</v>
      </c>
    </row>
    <row r="54" spans="1:12" ht="105" x14ac:dyDescent="0.2">
      <c r="A54" t="str">
        <f>_xlfn.CONCAT(Projects[[#This Row],[Project Focus]], ": ", Projects[[#This Row],[Project Title]])</f>
        <v>Cybersecurity: Deploying a SIEM in Microsoft Azure</v>
      </c>
      <c r="B54" t="str">
        <f>IF(Projects[[#This Row],[Column1]]=Projects[[#This Row],[Project]],"Yes","No")</f>
        <v>Yes</v>
      </c>
      <c r="C54" t="s">
        <v>406</v>
      </c>
      <c r="D54" s="8" t="s">
        <v>787</v>
      </c>
      <c r="E54" s="11" t="s">
        <v>407</v>
      </c>
      <c r="F54" s="8" t="s">
        <v>621</v>
      </c>
      <c r="G54" s="8" t="s">
        <v>622</v>
      </c>
      <c r="H54" s="8" t="s">
        <v>623</v>
      </c>
      <c r="I54" s="8" t="s">
        <v>788</v>
      </c>
      <c r="J54" s="9" t="s">
        <v>789</v>
      </c>
      <c r="K54" s="8" t="s">
        <v>383</v>
      </c>
      <c r="L54" s="8" t="s">
        <v>611</v>
      </c>
    </row>
    <row r="55" spans="1:12" x14ac:dyDescent="0.2">
      <c r="A55" t="str">
        <f>_xlfn.CONCAT(Projects[[#This Row],[Project Focus]], ": ", Projects[[#This Row],[Project Title]])</f>
        <v>Cybersecurity: Exploring Vulnerabilities in LLM Multi-Agent Systems</v>
      </c>
      <c r="B55" t="str">
        <f>IF(Projects[[#This Row],[Column1]]=Projects[[#This Row],[Project]],"Yes","No")</f>
        <v>No</v>
      </c>
      <c r="D55" s="8" t="s">
        <v>790</v>
      </c>
      <c r="E55" s="11" t="s">
        <v>791</v>
      </c>
      <c r="F55" s="8" t="s">
        <v>621</v>
      </c>
      <c r="G55" s="8" t="s">
        <v>667</v>
      </c>
      <c r="H55" s="8" t="s">
        <v>792</v>
      </c>
      <c r="I55" s="8" t="s">
        <v>793</v>
      </c>
      <c r="J55" s="8" t="s">
        <v>794</v>
      </c>
      <c r="K55" s="8" t="s">
        <v>383</v>
      </c>
      <c r="L55" s="8" t="s">
        <v>611</v>
      </c>
    </row>
    <row r="56" spans="1:12" x14ac:dyDescent="0.2">
      <c r="A56" t="str">
        <f>_xlfn.CONCAT(Projects[[#This Row],[Project Focus]], ": ", Projects[[#This Row],[Project Title]])</f>
        <v>Cybersecurity: Lock and Key: Encrypted Password Management and Collaboration System</v>
      </c>
      <c r="B56" t="str">
        <f>IF(Projects[[#This Row],[Column1]]=Projects[[#This Row],[Project]],"Yes","No")</f>
        <v>No</v>
      </c>
      <c r="D56" s="8" t="s">
        <v>795</v>
      </c>
      <c r="E56" s="11" t="s">
        <v>796</v>
      </c>
      <c r="F56" s="8" t="s">
        <v>621</v>
      </c>
      <c r="G56" s="8" t="s">
        <v>622</v>
      </c>
      <c r="H56" s="8" t="s">
        <v>623</v>
      </c>
      <c r="I56" s="8" t="s">
        <v>797</v>
      </c>
      <c r="J56" s="9"/>
      <c r="K56" s="8" t="s">
        <v>383</v>
      </c>
      <c r="L56" s="8"/>
    </row>
    <row r="57" spans="1:12" ht="27" x14ac:dyDescent="0.2">
      <c r="A57" t="str">
        <f>_xlfn.CONCAT(Projects[[#This Row],[Project Focus]], ": ", Projects[[#This Row],[Project Title]])</f>
        <v>Cybersecurity: Lockstep - 2FA</v>
      </c>
      <c r="B57" t="str">
        <f>IF(Projects[[#This Row],[Column1]]=Projects[[#This Row],[Project]],"Yes","No")</f>
        <v>Yes</v>
      </c>
      <c r="C57" t="s">
        <v>428</v>
      </c>
      <c r="D57" s="8" t="s">
        <v>798</v>
      </c>
      <c r="E57" s="11" t="s">
        <v>426</v>
      </c>
      <c r="F57" s="8" t="s">
        <v>621</v>
      </c>
      <c r="G57" s="8" t="s">
        <v>622</v>
      </c>
      <c r="H57" s="8" t="s">
        <v>623</v>
      </c>
      <c r="I57" s="8" t="s">
        <v>799</v>
      </c>
      <c r="J57" s="9" t="s">
        <v>800</v>
      </c>
      <c r="K57" s="8" t="s">
        <v>383</v>
      </c>
      <c r="L57" s="8" t="s">
        <v>611</v>
      </c>
    </row>
    <row r="58" spans="1:12" ht="92" x14ac:dyDescent="0.2">
      <c r="A58" t="str">
        <f>_xlfn.CONCAT(Projects[[#This Row],[Project Focus]], ": ", Projects[[#This Row],[Project Title]])</f>
        <v>Cybersecurity: PhishEye</v>
      </c>
      <c r="B58" t="str">
        <f>IF(Projects[[#This Row],[Column1]]=Projects[[#This Row],[Project]],"Yes","No")</f>
        <v>Yes</v>
      </c>
      <c r="C58" t="s">
        <v>439</v>
      </c>
      <c r="D58" s="8" t="s">
        <v>801</v>
      </c>
      <c r="E58" s="11" t="s">
        <v>437</v>
      </c>
      <c r="F58" s="8" t="s">
        <v>621</v>
      </c>
      <c r="G58" s="8" t="s">
        <v>622</v>
      </c>
      <c r="H58" s="8" t="s">
        <v>623</v>
      </c>
      <c r="I58" s="8" t="s">
        <v>802</v>
      </c>
      <c r="J58" s="9" t="s">
        <v>803</v>
      </c>
      <c r="K58" s="8" t="s">
        <v>383</v>
      </c>
      <c r="L58" s="8" t="s">
        <v>611</v>
      </c>
    </row>
    <row r="59" spans="1:12" x14ac:dyDescent="0.2">
      <c r="A59" t="str">
        <f>_xlfn.CONCAT(Projects[[#This Row],[Project Focus]], ": ", Projects[[#This Row],[Project Title]])</f>
        <v>Cybersecurity: Profiling Ransomware Attacks via Web Crawling and Textual Analysis</v>
      </c>
      <c r="B59" t="str">
        <f>IF(Projects[[#This Row],[Column1]]=Projects[[#This Row],[Project]],"Yes","No")</f>
        <v>Yes</v>
      </c>
      <c r="C59" t="s">
        <v>450</v>
      </c>
      <c r="D59" s="8" t="s">
        <v>804</v>
      </c>
      <c r="E59" s="8" t="s">
        <v>805</v>
      </c>
      <c r="F59" s="8" t="s">
        <v>806</v>
      </c>
      <c r="G59" s="8" t="s">
        <v>667</v>
      </c>
      <c r="H59" s="8" t="s">
        <v>631</v>
      </c>
      <c r="I59" s="8" t="s">
        <v>807</v>
      </c>
      <c r="J59" s="8" t="s">
        <v>808</v>
      </c>
      <c r="K59" s="8" t="s">
        <v>383</v>
      </c>
      <c r="L59" s="8" t="s">
        <v>611</v>
      </c>
    </row>
    <row r="60" spans="1:12" ht="96" x14ac:dyDescent="0.2">
      <c r="A60" t="str">
        <f>_xlfn.CONCAT(Projects[[#This Row],[Project Focus]], ": ", Projects[[#This Row],[Project Title]])</f>
        <v>Cybersecurity: Secure Med</v>
      </c>
      <c r="B60" t="str">
        <f>IF(Projects[[#This Row],[Column1]]=Projects[[#This Row],[Project]],"Yes","No")</f>
        <v>Yes</v>
      </c>
      <c r="C60" t="s">
        <v>461</v>
      </c>
      <c r="D60" s="8" t="s">
        <v>809</v>
      </c>
      <c r="E60" s="11" t="s">
        <v>459</v>
      </c>
      <c r="F60" s="8" t="s">
        <v>621</v>
      </c>
      <c r="G60" s="8" t="s">
        <v>622</v>
      </c>
      <c r="H60" s="8" t="s">
        <v>623</v>
      </c>
      <c r="I60" s="8" t="s">
        <v>810</v>
      </c>
      <c r="J60" s="20" t="s">
        <v>811</v>
      </c>
      <c r="K60" s="8" t="s">
        <v>383</v>
      </c>
      <c r="L60" s="8" t="s">
        <v>611</v>
      </c>
    </row>
    <row r="61" spans="1:12" ht="53" x14ac:dyDescent="0.2">
      <c r="A61" t="str">
        <f>_xlfn.CONCAT(Projects[[#This Row],[Project Focus]], ": ", Projects[[#This Row],[Project Title]])</f>
        <v>Cybersecurity: USB Drop Attacks</v>
      </c>
      <c r="B61" t="str">
        <f>IF(Projects[[#This Row],[Column1]]=Projects[[#This Row],[Project]],"Yes","No")</f>
        <v>Yes</v>
      </c>
      <c r="C61" t="s">
        <v>472</v>
      </c>
      <c r="D61" s="8" t="s">
        <v>812</v>
      </c>
      <c r="E61" s="11" t="s">
        <v>470</v>
      </c>
      <c r="F61" s="8" t="s">
        <v>621</v>
      </c>
      <c r="G61" s="8" t="s">
        <v>622</v>
      </c>
      <c r="H61" s="8" t="s">
        <v>623</v>
      </c>
      <c r="I61" s="8" t="s">
        <v>813</v>
      </c>
      <c r="J61" s="9" t="s">
        <v>814</v>
      </c>
      <c r="K61" s="8" t="s">
        <v>383</v>
      </c>
      <c r="L61" s="8"/>
    </row>
    <row r="62" spans="1:12" ht="321" x14ac:dyDescent="0.2">
      <c r="A62" t="str">
        <f>_xlfn.CONCAT(Projects[[#This Row],[Project Focus]], ": ", Projects[[#This Row],[Project Title]])</f>
        <v>Data Science: AI-Assisted Socially Interactive Advising Agents for STEM</v>
      </c>
      <c r="B62" t="str">
        <f>IF(Projects[[#This Row],[Column1]]=Projects[[#This Row],[Project]],"Yes","No")</f>
        <v>No</v>
      </c>
      <c r="D62" s="8" t="s">
        <v>815</v>
      </c>
      <c r="E62" s="8" t="s">
        <v>816</v>
      </c>
      <c r="F62" s="8" t="s">
        <v>629</v>
      </c>
      <c r="G62" s="8" t="s">
        <v>817</v>
      </c>
      <c r="H62" s="8" t="s">
        <v>631</v>
      </c>
      <c r="I62" s="8" t="s">
        <v>818</v>
      </c>
      <c r="J62" s="9" t="s">
        <v>819</v>
      </c>
      <c r="K62" s="8" t="s">
        <v>820</v>
      </c>
      <c r="L62" s="8" t="s">
        <v>611</v>
      </c>
    </row>
    <row r="63" spans="1:12" ht="381" x14ac:dyDescent="0.2">
      <c r="A63" t="str">
        <f>_xlfn.CONCAT(Projects[[#This Row],[Project Focus]], ": ", Projects[[#This Row],[Project Title]])</f>
        <v>Data Science: Genomic Variant Risk Prediction</v>
      </c>
      <c r="B63" t="str">
        <f>IF(Projects[[#This Row],[Column1]]=Projects[[#This Row],[Project]],"Yes","No")</f>
        <v>No</v>
      </c>
      <c r="D63" s="8" t="s">
        <v>821</v>
      </c>
      <c r="E63" s="11" t="s">
        <v>822</v>
      </c>
      <c r="F63" s="8" t="s">
        <v>621</v>
      </c>
      <c r="G63" s="8" t="s">
        <v>622</v>
      </c>
      <c r="H63" s="8" t="s">
        <v>623</v>
      </c>
      <c r="I63" s="9" t="s">
        <v>823</v>
      </c>
      <c r="J63" s="9" t="s">
        <v>824</v>
      </c>
      <c r="K63" s="8" t="s">
        <v>820</v>
      </c>
      <c r="L63" s="8"/>
    </row>
    <row r="64" spans="1:12" x14ac:dyDescent="0.2">
      <c r="A64" t="str">
        <f>_xlfn.CONCAT(Projects[[#This Row],[Project Focus]], ": ", Projects[[#This Row],[Project Title]])</f>
        <v>Data Science: ScholarSync: AI-Powered Personalized Learning</v>
      </c>
      <c r="B64" t="str">
        <f>IF(Projects[[#This Row],[Column1]]=Projects[[#This Row],[Project]],"Yes","No")</f>
        <v>No</v>
      </c>
      <c r="D64" s="8" t="s">
        <v>604</v>
      </c>
      <c r="E64" s="8" t="s">
        <v>605</v>
      </c>
      <c r="F64" s="8" t="s">
        <v>606</v>
      </c>
      <c r="G64" s="8" t="s">
        <v>607</v>
      </c>
      <c r="H64" s="8" t="s">
        <v>608</v>
      </c>
      <c r="I64" s="8" t="s">
        <v>825</v>
      </c>
      <c r="J64" s="8" t="s">
        <v>826</v>
      </c>
      <c r="K64" s="8" t="s">
        <v>820</v>
      </c>
      <c r="L64" s="8" t="s">
        <v>611</v>
      </c>
    </row>
    <row r="65" spans="1:12" ht="40" x14ac:dyDescent="0.2">
      <c r="A65" t="str">
        <f>_xlfn.CONCAT(Projects[[#This Row],[Project Focus]], ": ", Projects[[#This Row],[Project Title]])</f>
        <v>Information Technology: AI Mock Interview Prep</v>
      </c>
      <c r="B65" t="str">
        <f>IF(Projects[[#This Row],[Column1]]=Projects[[#This Row],[Project]],"Yes","No")</f>
        <v>Yes</v>
      </c>
      <c r="C65" t="s">
        <v>487</v>
      </c>
      <c r="D65" s="8" t="s">
        <v>827</v>
      </c>
      <c r="E65" s="11" t="s">
        <v>828</v>
      </c>
      <c r="F65" s="8" t="s">
        <v>621</v>
      </c>
      <c r="G65" s="8" t="s">
        <v>622</v>
      </c>
      <c r="H65" s="8" t="s">
        <v>623</v>
      </c>
      <c r="I65" s="8" t="s">
        <v>829</v>
      </c>
      <c r="J65" s="9" t="s">
        <v>830</v>
      </c>
      <c r="K65" s="8" t="s">
        <v>486</v>
      </c>
      <c r="L65" s="8" t="s">
        <v>611</v>
      </c>
    </row>
    <row r="66" spans="1:12" ht="53" x14ac:dyDescent="0.2">
      <c r="A66" t="str">
        <f>_xlfn.CONCAT(Projects[[#This Row],[Project Focus]], ": ", Projects[[#This Row],[Project Title]])</f>
        <v>Information technology: Automated Dev Environment Builder</v>
      </c>
      <c r="B66" t="str">
        <f>IF(Projects[[#This Row],[Column1]]=Projects[[#This Row],[Project]],"Yes","No")</f>
        <v>Yes</v>
      </c>
      <c r="C66" t="s">
        <v>494</v>
      </c>
      <c r="D66" s="8" t="s">
        <v>831</v>
      </c>
      <c r="E66" s="11" t="s">
        <v>501</v>
      </c>
      <c r="F66" s="8" t="s">
        <v>621</v>
      </c>
      <c r="G66" s="8" t="s">
        <v>622</v>
      </c>
      <c r="H66" s="8" t="s">
        <v>623</v>
      </c>
      <c r="I66" s="8" t="s">
        <v>832</v>
      </c>
      <c r="J66" s="9" t="s">
        <v>833</v>
      </c>
      <c r="K66" s="8" t="s">
        <v>834</v>
      </c>
      <c r="L66" s="8"/>
    </row>
    <row r="67" spans="1:12" ht="235" x14ac:dyDescent="0.2">
      <c r="A67" t="str">
        <f>_xlfn.CONCAT(Projects[[#This Row],[Project Focus]], ": ", Projects[[#This Row],[Project Title]])</f>
        <v>Information Technology: Automated Network Configuration for IT Environements</v>
      </c>
      <c r="B67" t="str">
        <f>IF(Projects[[#This Row],[Column1]]=Projects[[#This Row],[Project]],"Yes","No")</f>
        <v>Yes</v>
      </c>
      <c r="C67" t="s">
        <v>505</v>
      </c>
      <c r="D67" s="8" t="s">
        <v>835</v>
      </c>
      <c r="E67" s="11" t="s">
        <v>503</v>
      </c>
      <c r="F67" s="8" t="s">
        <v>621</v>
      </c>
      <c r="G67" s="8" t="s">
        <v>622</v>
      </c>
      <c r="H67" s="8" t="s">
        <v>623</v>
      </c>
      <c r="I67" s="8" t="s">
        <v>836</v>
      </c>
      <c r="J67" s="9" t="s">
        <v>837</v>
      </c>
      <c r="K67" s="8" t="s">
        <v>486</v>
      </c>
      <c r="L67" s="8"/>
    </row>
    <row r="68" spans="1:12" x14ac:dyDescent="0.2">
      <c r="A68" t="str">
        <f>_xlfn.CONCAT(Projects[[#This Row],[Project Focus]], ": ", Projects[[#This Row],[Project Title]])</f>
        <v>Information Technology: Business Asset Management WebApp</v>
      </c>
      <c r="B68" t="str">
        <f>IF(Projects[[#This Row],[Column1]]=Projects[[#This Row],[Project]],"Yes","No")</f>
        <v>Yes</v>
      </c>
      <c r="C68" t="s">
        <v>517</v>
      </c>
      <c r="D68" s="8" t="s">
        <v>838</v>
      </c>
      <c r="E68" s="11" t="s">
        <v>515</v>
      </c>
      <c r="F68" s="8" t="s">
        <v>621</v>
      </c>
      <c r="G68" s="8" t="s">
        <v>622</v>
      </c>
      <c r="H68" s="8" t="s">
        <v>623</v>
      </c>
      <c r="I68" s="8" t="s">
        <v>839</v>
      </c>
      <c r="J68" s="9"/>
      <c r="K68" s="8" t="s">
        <v>486</v>
      </c>
      <c r="L68" s="8"/>
    </row>
    <row r="69" spans="1:12" ht="40" x14ac:dyDescent="0.2">
      <c r="A69" t="str">
        <f>_xlfn.CONCAT(Projects[[#This Row],[Project Focus]], ": ", Projects[[#This Row],[Project Title]])</f>
        <v>Information Technology: Cloud-Based Resume Builder</v>
      </c>
      <c r="B69" t="str">
        <f>IF(Projects[[#This Row],[Column1]]=Projects[[#This Row],[Project]],"Yes","No")</f>
        <v>No</v>
      </c>
      <c r="D69" s="8" t="s">
        <v>840</v>
      </c>
      <c r="E69" s="11" t="s">
        <v>524</v>
      </c>
      <c r="F69" s="8" t="s">
        <v>621</v>
      </c>
      <c r="G69" s="8" t="s">
        <v>622</v>
      </c>
      <c r="H69" s="8" t="s">
        <v>623</v>
      </c>
      <c r="I69" s="8" t="s">
        <v>841</v>
      </c>
      <c r="J69" s="9" t="s">
        <v>842</v>
      </c>
      <c r="K69" s="8" t="s">
        <v>486</v>
      </c>
      <c r="L69" s="8"/>
    </row>
    <row r="70" spans="1:12" x14ac:dyDescent="0.2">
      <c r="A70" t="str">
        <f>_xlfn.CONCAT(Projects[[#This Row],[Project Focus]], ": ", Projects[[#This Row],[Project Title]])</f>
        <v>Information Technology: Computer Equipment Checkout Tracker</v>
      </c>
      <c r="B70" t="str">
        <f>IF(Projects[[#This Row],[Column1]]=Projects[[#This Row],[Project]],"Yes","No")</f>
        <v>Yes</v>
      </c>
      <c r="C70" t="s">
        <v>537</v>
      </c>
      <c r="D70" s="8" t="s">
        <v>843</v>
      </c>
      <c r="E70" s="11" t="s">
        <v>535</v>
      </c>
      <c r="F70" s="8" t="s">
        <v>621</v>
      </c>
      <c r="G70" s="8" t="s">
        <v>622</v>
      </c>
      <c r="H70" s="8" t="s">
        <v>623</v>
      </c>
      <c r="I70" s="8" t="s">
        <v>844</v>
      </c>
      <c r="J70" s="9"/>
      <c r="K70" s="8" t="s">
        <v>486</v>
      </c>
      <c r="L70" s="8"/>
    </row>
    <row r="71" spans="1:12" x14ac:dyDescent="0.2">
      <c r="A71" t="str">
        <f>_xlfn.CONCAT(Projects[[#This Row],[Project Focus]], ": ", Projects[[#This Row],[Project Title]])</f>
        <v>Information Technology: CyberSafeGuard : an educational cybersecurity website</v>
      </c>
      <c r="B71" t="str">
        <f>IF(Projects[[#This Row],[Column1]]=Projects[[#This Row],[Project]],"Yes","No")</f>
        <v>Yes</v>
      </c>
      <c r="C71" t="s">
        <v>546</v>
      </c>
      <c r="D71" s="1" t="s">
        <v>845</v>
      </c>
      <c r="E71" s="14" t="s">
        <v>547</v>
      </c>
      <c r="F71" s="8" t="s">
        <v>621</v>
      </c>
      <c r="G71" s="8" t="s">
        <v>622</v>
      </c>
      <c r="H71" s="8" t="s">
        <v>623</v>
      </c>
      <c r="I71" t="s">
        <v>846</v>
      </c>
      <c r="J71" t="s">
        <v>847</v>
      </c>
      <c r="K71" s="8" t="s">
        <v>486</v>
      </c>
    </row>
    <row r="72" spans="1:12" ht="27" x14ac:dyDescent="0.2">
      <c r="A72" t="str">
        <f>_xlfn.CONCAT(Projects[[#This Row],[Project Focus]], ": ", Projects[[#This Row],[Project Title]])</f>
        <v>Information Technology: Expense Tracker App</v>
      </c>
      <c r="B72" t="str">
        <f>IF(Projects[[#This Row],[Column1]]=Projects[[#This Row],[Project]],"Yes","No")</f>
        <v>Yes</v>
      </c>
      <c r="C72" t="s">
        <v>555</v>
      </c>
      <c r="D72" s="8" t="s">
        <v>848</v>
      </c>
      <c r="E72" s="11" t="s">
        <v>553</v>
      </c>
      <c r="F72" s="8" t="s">
        <v>621</v>
      </c>
      <c r="G72" s="8" t="s">
        <v>622</v>
      </c>
      <c r="H72" s="8" t="s">
        <v>623</v>
      </c>
      <c r="I72" s="8" t="s">
        <v>849</v>
      </c>
      <c r="J72" s="9" t="s">
        <v>850</v>
      </c>
      <c r="K72" s="8" t="s">
        <v>486</v>
      </c>
      <c r="L72" s="8"/>
    </row>
    <row r="73" spans="1:12" x14ac:dyDescent="0.2">
      <c r="A73" t="str">
        <f>_xlfn.CONCAT(Projects[[#This Row],[Project Focus]], ": ", Projects[[#This Row],[Project Title]])</f>
        <v>Information Technology: Personal Budget Tracker Website: SmartSpender</v>
      </c>
      <c r="B73" t="str">
        <f>IF(Projects[[#This Row],[Column1]]=Projects[[#This Row],[Project]],"Yes","No")</f>
        <v>Yes</v>
      </c>
      <c r="C73" t="s">
        <v>566</v>
      </c>
      <c r="D73" s="8" t="s">
        <v>851</v>
      </c>
      <c r="E73" s="11" t="s">
        <v>564</v>
      </c>
      <c r="F73" s="8" t="s">
        <v>621</v>
      </c>
      <c r="G73" s="8" t="s">
        <v>622</v>
      </c>
      <c r="H73" s="8" t="s">
        <v>623</v>
      </c>
      <c r="I73" s="8" t="s">
        <v>852</v>
      </c>
      <c r="J73" s="9"/>
      <c r="K73" s="8" t="s">
        <v>486</v>
      </c>
      <c r="L73" s="8"/>
    </row>
    <row r="74" spans="1:12" ht="53" x14ac:dyDescent="0.2">
      <c r="A74" t="str">
        <f>_xlfn.CONCAT(Projects[[#This Row],[Project Focus]], ": ", Projects[[#This Row],[Project Title]])</f>
        <v>Information Technology: SmartAsset : a web-based IT asset management solution</v>
      </c>
      <c r="B74" t="str">
        <f>IF(Projects[[#This Row],[Column1]]=Projects[[#This Row],[Project]],"Yes","No")</f>
        <v>No</v>
      </c>
      <c r="D74" s="8" t="s">
        <v>853</v>
      </c>
      <c r="E74" s="11" t="s">
        <v>582</v>
      </c>
      <c r="F74" s="8" t="s">
        <v>621</v>
      </c>
      <c r="G74" s="8" t="s">
        <v>622</v>
      </c>
      <c r="H74" s="8" t="s">
        <v>623</v>
      </c>
      <c r="I74" s="8" t="s">
        <v>854</v>
      </c>
      <c r="J74" s="9" t="s">
        <v>855</v>
      </c>
      <c r="K74" s="8" t="s">
        <v>486</v>
      </c>
      <c r="L74" s="8"/>
    </row>
    <row r="75" spans="1:12" ht="40" x14ac:dyDescent="0.2">
      <c r="A75" t="str">
        <f>_xlfn.CONCAT(Projects[[#This Row],[Project Focus]], ": ", Projects[[#This Row],[Project Title]])</f>
        <v>Information Technology: Verified Student Group Collaboration Chat (FULL)</v>
      </c>
      <c r="B75" t="str">
        <f>IF(Projects[[#This Row],[Column1]]=Projects[[#This Row],[Project]],"Yes","No")</f>
        <v>Yes</v>
      </c>
      <c r="C75" t="s">
        <v>588</v>
      </c>
      <c r="D75" s="8" t="s">
        <v>856</v>
      </c>
      <c r="E75" s="11" t="s">
        <v>857</v>
      </c>
      <c r="F75" s="8" t="s">
        <v>621</v>
      </c>
      <c r="G75" s="8" t="s">
        <v>622</v>
      </c>
      <c r="H75" s="8" t="s">
        <v>623</v>
      </c>
      <c r="I75" s="8" t="s">
        <v>858</v>
      </c>
      <c r="J75" s="9" t="s">
        <v>859</v>
      </c>
      <c r="K75" s="8" t="s">
        <v>486</v>
      </c>
      <c r="L75" s="8"/>
    </row>
    <row r="76" spans="1:12" ht="66" x14ac:dyDescent="0.2">
      <c r="B76" t="str">
        <f>IF(Projects[[#This Row],[Column1]]=Projects[[#This Row],[Project]],"Yes","No")</f>
        <v>Yes</v>
      </c>
      <c r="D76" s="8" t="s">
        <v>656</v>
      </c>
      <c r="E76" s="11" t="s">
        <v>138</v>
      </c>
      <c r="F76" s="8" t="s">
        <v>621</v>
      </c>
      <c r="G76" s="8" t="s">
        <v>622</v>
      </c>
      <c r="H76" s="8" t="s">
        <v>623</v>
      </c>
      <c r="I76" s="8" t="s">
        <v>657</v>
      </c>
      <c r="J76" s="9" t="s">
        <v>860</v>
      </c>
      <c r="K76" s="8" t="s">
        <v>31</v>
      </c>
      <c r="L76" s="8"/>
    </row>
  </sheetData>
  <phoneticPr fontId="5" type="noConversion"/>
  <dataValidations count="1">
    <dataValidation allowBlank="1" showInputMessage="1" showErrorMessage="1" sqref="L53:L54 I1:I19 I21:I31 I33:I50 I52:I76 H77:H1048576" xr:uid="{659FD7EE-C08F-403F-9C7F-C6CAC9CBC591}"/>
  </dataValidations>
  <hyperlinks>
    <hyperlink ref="E40" r:id="rId1" xr:uid="{99872DAC-F82C-4B94-B6EF-641D01216213}"/>
    <hyperlink ref="E67" r:id="rId2" xr:uid="{C3186F1A-1762-43E7-BCC7-AF74AE1BA059}"/>
    <hyperlink ref="E31" r:id="rId3" xr:uid="{3102AD5B-40FB-4083-82C9-78F9400CE043}"/>
    <hyperlink ref="E72" r:id="rId4" xr:uid="{A0150B97-CF5D-47D9-81AD-15DA90B016C0}"/>
    <hyperlink ref="E58" r:id="rId5" xr:uid="{837B98E8-601E-4940-8D83-B39A9ED05E7E}"/>
    <hyperlink ref="E7" r:id="rId6" xr:uid="{6E6564FA-5792-4C5A-AE78-341E08A1B684}"/>
    <hyperlink ref="E57" r:id="rId7" xr:uid="{F6B35219-6A1B-474C-ABB2-78B9AF7F8874}"/>
    <hyperlink ref="E5" r:id="rId8" xr:uid="{AFCF2FC5-C9F1-4C64-8DAE-DFDE16687164}"/>
    <hyperlink ref="E73" r:id="rId9" xr:uid="{03DCD131-BF95-4F30-93AB-C145DE5F50B0}"/>
    <hyperlink ref="E56" r:id="rId10" xr:uid="{8F636707-F3E3-43DA-B7F1-B0520BECDAD2}"/>
    <hyperlink ref="E70" r:id="rId11" xr:uid="{075789B2-A063-435D-991A-86D76CF1F639}"/>
    <hyperlink ref="E69" r:id="rId12" xr:uid="{3D3D9256-5B11-488B-8EB5-5946CB233E0A}"/>
    <hyperlink ref="E75" r:id="rId13" xr:uid="{73DD9AD6-AE15-40AE-9487-6D3F69F5BA08}"/>
    <hyperlink ref="E22" r:id="rId14" xr:uid="{0F70C634-2B5D-4215-942E-7F344A59B42F}"/>
    <hyperlink ref="E30" r:id="rId15" xr:uid="{35445BA2-D005-498F-8E01-E7E980117ACE}"/>
    <hyperlink ref="E76" r:id="rId16" xr:uid="{C0AD2BF8-0378-46E4-A775-443464041851}"/>
    <hyperlink ref="E45" r:id="rId17" xr:uid="{9987BF4B-1389-4BCA-A957-960B49AC90A3}"/>
    <hyperlink ref="E11" r:id="rId18" xr:uid="{02E2B1BA-C698-46E6-8E23-53976A2A4D24}"/>
    <hyperlink ref="E51" r:id="rId19" xr:uid="{70D9063D-3729-4439-BC63-00F03FDDBFB7}"/>
    <hyperlink ref="E43" r:id="rId20" xr:uid="{6136A321-1F1A-4F18-8073-DBB7B8CFFE7A}"/>
    <hyperlink ref="E54" r:id="rId21" xr:uid="{33EAF4F5-E913-4412-877E-4461176997A3}"/>
    <hyperlink ref="E48" r:id="rId22" xr:uid="{6985CBE8-F951-4FDE-B295-158CA2959F8C}"/>
    <hyperlink ref="E39" r:id="rId23" xr:uid="{DDFA07DC-6165-4B76-B1FB-79805E4F2321}"/>
    <hyperlink ref="E74" r:id="rId24" xr:uid="{EAEE955A-686D-46B6-A2B4-D3BD666F39D0}"/>
    <hyperlink ref="E68" r:id="rId25" xr:uid="{3D4EE62D-EA36-4B07-AE5E-722ADD3CAC76}"/>
    <hyperlink ref="E24" r:id="rId26" xr:uid="{6EAEBC53-EBFE-42D1-ADF6-23C0E228A0FD}"/>
    <hyperlink ref="E49" r:id="rId27" xr:uid="{141807E5-F416-4520-8427-6523808FE082}"/>
    <hyperlink ref="E47" r:id="rId28" xr:uid="{9103D0A7-DDC1-4964-BF3E-0722F844E026}"/>
    <hyperlink ref="E4" r:id="rId29" xr:uid="{418A16BD-2476-4429-AA17-C561396769E2}"/>
    <hyperlink ref="E46" r:id="rId30" xr:uid="{6379D8AF-2674-4CB4-AB11-8E19EEC75F6C}"/>
    <hyperlink ref="E9" r:id="rId31" xr:uid="{A0DCA400-E36E-492A-BFB0-44D5DC9D09A2}"/>
    <hyperlink ref="E52" r:id="rId32" xr:uid="{A8D1F470-6C6B-4268-91D4-F598CE1435D1}"/>
    <hyperlink ref="E28" r:id="rId33" xr:uid="{FA0B9541-38D6-4357-B9A2-4033B67AA311}"/>
    <hyperlink ref="E21" r:id="rId34" xr:uid="{F114AC08-75EC-4DBD-8AE1-1B27B308C113}"/>
    <hyperlink ref="E65" r:id="rId35" xr:uid="{ACD66582-2FB3-4217-B5B6-09498999948B}"/>
    <hyperlink ref="E61" r:id="rId36" xr:uid="{463E26CE-43CC-4657-A737-F1E0F4E7644D}"/>
    <hyperlink ref="E19" r:id="rId37" xr:uid="{438332BD-4956-4483-B510-B4B566750CF4}"/>
    <hyperlink ref="E63" r:id="rId38" xr:uid="{1ECAC20B-CD57-4CB1-B8BB-F2F4C2A915E7}"/>
    <hyperlink ref="E71" r:id="rId39" xr:uid="{9E446957-EDAF-C446-8DC1-781B71948488}"/>
    <hyperlink ref="E37" r:id="rId40" xr:uid="{87159E25-1007-E643-8672-82B3551FF007}"/>
    <hyperlink ref="E26" r:id="rId41" xr:uid="{EF303D34-C5C2-44B6-8C25-00095792961F}"/>
    <hyperlink ref="E23" r:id="rId42" xr:uid="{8F3AA96F-B1E0-4370-8AC3-EC9AF30167C2}"/>
    <hyperlink ref="E60" r:id="rId43" xr:uid="{F357A232-E0BC-42DA-9E2D-B5B808ADDF30}"/>
    <hyperlink ref="E55" r:id="rId44" xr:uid="{9D6CB897-50F2-42F6-BFF9-879616FD5477}"/>
    <hyperlink ref="E66" r:id="rId45" xr:uid="{F6B2E114-A2B2-4036-AB1F-538438C53433}"/>
    <hyperlink ref="E13" r:id="rId46" xr:uid="{2A7659F5-0AC5-4255-B17C-1AE94C3B6053}"/>
  </hyperlinks>
  <pageMargins left="0.7" right="0.7" top="0.75" bottom="0.75" header="0.3" footer="0.3"/>
  <pageSetup orientation="portrait" horizontalDpi="0" verticalDpi="0"/>
  <headerFooter>
    <oddFooter>&amp;C_x000D_&amp;1#&amp;"Aptos"&amp;12&amp;K000000 FIU - Internal Data</oddFooter>
  </headerFooter>
  <tableParts count="1">
    <tablePart r:id="rId4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63B9D-0A80-4E39-B6A4-9713B28C2177}">
  <dimension ref="A1:N302"/>
  <sheetViews>
    <sheetView topLeftCell="F77" zoomScaleNormal="100" workbookViewId="0">
      <selection activeCell="E74" sqref="E74"/>
    </sheetView>
  </sheetViews>
  <sheetFormatPr baseColWidth="10" defaultColWidth="8.83203125" defaultRowHeight="15" x14ac:dyDescent="0.2"/>
  <cols>
    <col min="2" max="2" width="18.5" customWidth="1"/>
    <col min="3" max="3" width="26" customWidth="1"/>
    <col min="4" max="4" width="17.83203125" customWidth="1"/>
    <col min="5" max="5" width="79.5" customWidth="1"/>
    <col min="6" max="6" width="23.6640625" customWidth="1"/>
    <col min="7" max="7" width="21.1640625" customWidth="1"/>
    <col min="8" max="8" width="27.5" customWidth="1"/>
    <col min="9" max="9" width="10.1640625" customWidth="1"/>
    <col min="11" max="11" width="34.6640625" customWidth="1"/>
    <col min="13" max="13" width="11.83203125" customWidth="1"/>
    <col min="14" max="14" width="23.5" customWidth="1"/>
  </cols>
  <sheetData>
    <row r="1" spans="1:14" x14ac:dyDescent="0.2">
      <c r="B1" s="25" t="s">
        <v>0</v>
      </c>
      <c r="C1" t="s">
        <v>1</v>
      </c>
      <c r="D1" t="s">
        <v>2</v>
      </c>
      <c r="E1" s="1" t="s">
        <v>5</v>
      </c>
      <c r="F1" t="s">
        <v>6</v>
      </c>
      <c r="G1" t="s">
        <v>7</v>
      </c>
      <c r="H1" t="s">
        <v>8</v>
      </c>
      <c r="I1" s="1" t="s">
        <v>10</v>
      </c>
      <c r="J1" s="1" t="s">
        <v>11</v>
      </c>
      <c r="K1" t="s">
        <v>594</v>
      </c>
    </row>
    <row r="2" spans="1:14" s="41" customFormat="1" x14ac:dyDescent="0.2">
      <c r="A2" s="80">
        <v>1</v>
      </c>
      <c r="B2" s="41" t="s">
        <v>37</v>
      </c>
      <c r="C2" s="41" t="s">
        <v>38</v>
      </c>
      <c r="D2" s="41" t="s">
        <v>31</v>
      </c>
      <c r="E2" s="45" t="s">
        <v>34</v>
      </c>
      <c r="F2" s="45" t="str">
        <f>_xlfn.XLOOKUP(TableFA21323[[#This Row],[Project]],Projects[Project],Projects[Full Name],"")</f>
        <v>Pooja Lad</v>
      </c>
      <c r="G2" s="45" t="str">
        <f>_xlfn.XLOOKUP(TableFA21323[[#This Row],[Project]],Projects[Project],Projects[Work Email (no gmail/hotmail/etc.)],"")</f>
        <v>plad002@fiu.edu</v>
      </c>
      <c r="H2" s="45" t="str">
        <f>_xlfn.XLOOKUP(TableFA21323[[#This Row],[Project]],Projects[Project],Projects[Affiliation (Company/University/Place of Work)],"")</f>
        <v>Florida International University</v>
      </c>
      <c r="I2" s="44">
        <f>COUNTIFS(TableFA21323[Project],TableFA21323[[#This Row],[Project]],TableFA21323[Program],TableFA21323[[#This Row],[Program]])</f>
        <v>5</v>
      </c>
      <c r="J2" s="44">
        <f>COUNTIFS(TableFA21323[Project],TableFA21323[[#This Row],[Project]])</f>
        <v>5</v>
      </c>
      <c r="K2" s="45" t="s">
        <v>861</v>
      </c>
      <c r="N2" s="41" t="s">
        <v>862</v>
      </c>
    </row>
    <row r="3" spans="1:14" s="41" customFormat="1" x14ac:dyDescent="0.2">
      <c r="A3" s="80"/>
      <c r="B3" s="41" t="s">
        <v>39</v>
      </c>
      <c r="C3" s="41" t="s">
        <v>40</v>
      </c>
      <c r="D3" s="41" t="s">
        <v>31</v>
      </c>
      <c r="E3" s="45" t="s">
        <v>34</v>
      </c>
      <c r="F3" s="45" t="str">
        <f>_xlfn.XLOOKUP(TableFA21323[[#This Row],[Project]],Projects[Project],Projects[Full Name],"")</f>
        <v>Pooja Lad</v>
      </c>
      <c r="G3" s="45" t="str">
        <f>_xlfn.XLOOKUP(TableFA21323[[#This Row],[Project]],Projects[Project],Projects[Work Email (no gmail/hotmail/etc.)],"")</f>
        <v>plad002@fiu.edu</v>
      </c>
      <c r="H3" s="45" t="str">
        <f>_xlfn.XLOOKUP(TableFA21323[[#This Row],[Project]],Projects[Project],Projects[Affiliation (Company/University/Place of Work)],"")</f>
        <v>Florida International University</v>
      </c>
      <c r="I3" s="44">
        <f>COUNTIFS(TableFA21323[Project],TableFA21323[[#This Row],[Project]],TableFA21323[Program],TableFA21323[[#This Row],[Program]])</f>
        <v>5</v>
      </c>
      <c r="J3" s="44">
        <f>COUNTIFS(TableFA21323[Project],TableFA21323[[#This Row],[Project]])</f>
        <v>5</v>
      </c>
      <c r="K3" s="45"/>
      <c r="N3" s="41" t="s">
        <v>863</v>
      </c>
    </row>
    <row r="4" spans="1:14" s="41" customFormat="1" x14ac:dyDescent="0.2">
      <c r="A4" s="80"/>
      <c r="B4" s="43" t="s">
        <v>29</v>
      </c>
      <c r="C4" s="43" t="s">
        <v>30</v>
      </c>
      <c r="D4" s="43" t="s">
        <v>31</v>
      </c>
      <c r="E4" s="44" t="s">
        <v>34</v>
      </c>
      <c r="F4" s="45" t="str">
        <f>_xlfn.XLOOKUP(TableFA21323[[#This Row],[Project]],Projects[Project],Projects[Full Name],"")</f>
        <v>Pooja Lad</v>
      </c>
      <c r="G4" s="45" t="str">
        <f>_xlfn.XLOOKUP(TableFA21323[[#This Row],[Project]],Projects[Project],Projects[Work Email (no gmail/hotmail/etc.)],"")</f>
        <v>plad002@fiu.edu</v>
      </c>
      <c r="H4" s="45" t="str">
        <f>_xlfn.XLOOKUP(TableFA21323[[#This Row],[Project]],Projects[Project],Projects[Affiliation (Company/University/Place of Work)],"")</f>
        <v>Florida International University</v>
      </c>
      <c r="I4" s="44">
        <f>COUNTIFS(TableFA21323[Project],TableFA21323[[#This Row],[Project]],TableFA21323[Program],TableFA21323[[#This Row],[Program]])</f>
        <v>5</v>
      </c>
      <c r="J4" s="44">
        <f>COUNTIFS(TableFA21323[Project],TableFA21323[[#This Row],[Project]])</f>
        <v>5</v>
      </c>
      <c r="K4" s="45"/>
      <c r="M4" s="48"/>
      <c r="N4" s="41" t="s">
        <v>864</v>
      </c>
    </row>
    <row r="5" spans="1:14" s="41" customFormat="1" x14ac:dyDescent="0.2">
      <c r="A5" s="80"/>
      <c r="B5" s="41" t="s">
        <v>41</v>
      </c>
      <c r="C5" s="41" t="s">
        <v>42</v>
      </c>
      <c r="D5" s="41" t="s">
        <v>31</v>
      </c>
      <c r="E5" s="45" t="s">
        <v>34</v>
      </c>
      <c r="F5" s="45" t="str">
        <f>_xlfn.XLOOKUP(TableFA21323[[#This Row],[Project]],Projects[Project],Projects[Full Name],"")</f>
        <v>Pooja Lad</v>
      </c>
      <c r="G5" s="45" t="str">
        <f>_xlfn.XLOOKUP(TableFA21323[[#This Row],[Project]],Projects[Project],Projects[Work Email (no gmail/hotmail/etc.)],"")</f>
        <v>plad002@fiu.edu</v>
      </c>
      <c r="H5" s="45" t="str">
        <f>_xlfn.XLOOKUP(TableFA21323[[#This Row],[Project]],Projects[Project],Projects[Affiliation (Company/University/Place of Work)],"")</f>
        <v>Florida International University</v>
      </c>
      <c r="I5" s="44">
        <f>COUNTIFS(TableFA21323[Project],TableFA21323[[#This Row],[Project]],TableFA21323[Program],TableFA21323[[#This Row],[Program]])</f>
        <v>5</v>
      </c>
      <c r="J5" s="44">
        <f>COUNTIFS(TableFA21323[Project],TableFA21323[[#This Row],[Project]])</f>
        <v>5</v>
      </c>
      <c r="K5" s="45"/>
      <c r="N5" s="41" t="s">
        <v>865</v>
      </c>
    </row>
    <row r="6" spans="1:14" s="41" customFormat="1" x14ac:dyDescent="0.2">
      <c r="A6" s="80"/>
      <c r="B6" s="41" t="s">
        <v>43</v>
      </c>
      <c r="C6" s="41" t="s">
        <v>44</v>
      </c>
      <c r="D6" s="41" t="s">
        <v>31</v>
      </c>
      <c r="E6" s="45" t="s">
        <v>34</v>
      </c>
      <c r="F6" s="45" t="str">
        <f>_xlfn.XLOOKUP(TableFA21323[[#This Row],[Project]],Projects[Project],Projects[Full Name],"")</f>
        <v>Pooja Lad</v>
      </c>
      <c r="G6" s="45" t="str">
        <f>_xlfn.XLOOKUP(TableFA21323[[#This Row],[Project]],Projects[Project],Projects[Work Email (no gmail/hotmail/etc.)],"")</f>
        <v>plad002@fiu.edu</v>
      </c>
      <c r="H6" s="45" t="str">
        <f>_xlfn.XLOOKUP(TableFA21323[[#This Row],[Project]],Projects[Project],Projects[Affiliation (Company/University/Place of Work)],"")</f>
        <v>Florida International University</v>
      </c>
      <c r="I6" s="44">
        <f>COUNTIFS(TableFA21323[Project],TableFA21323[[#This Row],[Project]],TableFA21323[Program],TableFA21323[[#This Row],[Program]])</f>
        <v>5</v>
      </c>
      <c r="J6" s="44">
        <f>COUNTIFS(TableFA21323[Project],TableFA21323[[#This Row],[Project]])</f>
        <v>5</v>
      </c>
      <c r="K6" s="45"/>
      <c r="N6" s="41" t="s">
        <v>866</v>
      </c>
    </row>
    <row r="7" spans="1:14" ht="15" customHeight="1" x14ac:dyDescent="0.2">
      <c r="A7" s="57"/>
      <c r="E7" s="1"/>
      <c r="F7" s="1"/>
      <c r="G7" s="1"/>
      <c r="H7" s="1"/>
      <c r="I7" s="1"/>
      <c r="J7" s="1"/>
      <c r="K7" s="1"/>
    </row>
    <row r="8" spans="1:14" s="41" customFormat="1" x14ac:dyDescent="0.2">
      <c r="A8" s="80">
        <v>2</v>
      </c>
      <c r="B8" s="41" t="s">
        <v>48</v>
      </c>
      <c r="C8" s="41" t="s">
        <v>49</v>
      </c>
      <c r="D8" s="41" t="s">
        <v>31</v>
      </c>
      <c r="E8" s="41" t="s">
        <v>47</v>
      </c>
      <c r="F8" s="45" t="str">
        <f>_xlfn.XLOOKUP(TableFA21323[[#This Row],[Project]],Projects[Project],Projects[Full Name],"")</f>
        <v>Alejandro Arrieta</v>
      </c>
      <c r="G8" s="45" t="str">
        <f>_xlfn.XLOOKUP(TableFA21323[[#This Row],[Project]],Projects[Project],Projects[Work Email (no gmail/hotmail/etc.)],"")</f>
        <v>alejarri@fiu.edu</v>
      </c>
      <c r="H8" s="45" t="str">
        <f>_xlfn.XLOOKUP(TableFA21323[[#This Row],[Project]],Projects[Project],Projects[Affiliation (Company/University/Place of Work)],"")</f>
        <v>FIU</v>
      </c>
      <c r="I8" s="44">
        <f>COUNTIFS(TableFA21323[Project],TableFA21323[[#This Row],[Project]],TableFA21323[Program],TableFA21323[[#This Row],[Program]])</f>
        <v>5</v>
      </c>
      <c r="J8" s="44">
        <f>COUNTIFS(TableFA21323[Project],TableFA21323[[#This Row],[Project]])</f>
        <v>5</v>
      </c>
      <c r="K8" s="45"/>
    </row>
    <row r="9" spans="1:14" s="41" customFormat="1" x14ac:dyDescent="0.2">
      <c r="A9" s="80"/>
      <c r="B9" s="41" t="s">
        <v>50</v>
      </c>
      <c r="C9" s="41" t="s">
        <v>51</v>
      </c>
      <c r="D9" s="41" t="s">
        <v>31</v>
      </c>
      <c r="E9" s="45" t="s">
        <v>47</v>
      </c>
      <c r="F9" s="45" t="str">
        <f>_xlfn.XLOOKUP(TableFA21323[[#This Row],[Project]],Projects[Project],Projects[Full Name],"")</f>
        <v>Alejandro Arrieta</v>
      </c>
      <c r="G9" s="45" t="str">
        <f>_xlfn.XLOOKUP(TableFA21323[[#This Row],[Project]],Projects[Project],Projects[Work Email (no gmail/hotmail/etc.)],"")</f>
        <v>alejarri@fiu.edu</v>
      </c>
      <c r="H9" s="45" t="str">
        <f>_xlfn.XLOOKUP(TableFA21323[[#This Row],[Project]],Projects[Project],Projects[Affiliation (Company/University/Place of Work)],"")</f>
        <v>FIU</v>
      </c>
      <c r="I9" s="44">
        <f>COUNTIFS(TableFA21323[Project],TableFA21323[[#This Row],[Project]],TableFA21323[Program],TableFA21323[[#This Row],[Program]])</f>
        <v>5</v>
      </c>
      <c r="J9" s="44">
        <f>COUNTIFS(TableFA21323[Project],TableFA21323[[#This Row],[Project]])</f>
        <v>5</v>
      </c>
      <c r="K9" s="45"/>
    </row>
    <row r="10" spans="1:14" s="41" customFormat="1" x14ac:dyDescent="0.2">
      <c r="A10" s="80"/>
      <c r="B10" s="43" t="s">
        <v>45</v>
      </c>
      <c r="C10" s="43" t="s">
        <v>46</v>
      </c>
      <c r="D10" s="43" t="s">
        <v>31</v>
      </c>
      <c r="E10" s="43" t="s">
        <v>47</v>
      </c>
      <c r="F10" s="45" t="str">
        <f>_xlfn.XLOOKUP(TableFA21323[[#This Row],[Project]],Projects[Project],Projects[Full Name],"")</f>
        <v>Alejandro Arrieta</v>
      </c>
      <c r="G10" s="45" t="str">
        <f>_xlfn.XLOOKUP(TableFA21323[[#This Row],[Project]],Projects[Project],Projects[Work Email (no gmail/hotmail/etc.)],"")</f>
        <v>alejarri@fiu.edu</v>
      </c>
      <c r="H10" s="45" t="str">
        <f>_xlfn.XLOOKUP(TableFA21323[[#This Row],[Project]],Projects[Project],Projects[Affiliation (Company/University/Place of Work)],"")</f>
        <v>FIU</v>
      </c>
      <c r="I10" s="44">
        <f>COUNTIFS(TableFA21323[Project],TableFA21323[[#This Row],[Project]],TableFA21323[Program],TableFA21323[[#This Row],[Program]])</f>
        <v>5</v>
      </c>
      <c r="J10" s="44">
        <f>COUNTIFS(TableFA21323[Project],TableFA21323[[#This Row],[Project]])</f>
        <v>5</v>
      </c>
      <c r="K10" s="45"/>
    </row>
    <row r="11" spans="1:14" s="41" customFormat="1" x14ac:dyDescent="0.2">
      <c r="A11" s="80"/>
      <c r="B11" s="41" t="s">
        <v>52</v>
      </c>
      <c r="C11" s="41" t="s">
        <v>53</v>
      </c>
      <c r="D11" s="41" t="s">
        <v>31</v>
      </c>
      <c r="E11" s="45" t="s">
        <v>47</v>
      </c>
      <c r="F11" s="45" t="str">
        <f>_xlfn.XLOOKUP(TableFA21323[[#This Row],[Project]],Projects[Project],Projects[Full Name],"")</f>
        <v>Alejandro Arrieta</v>
      </c>
      <c r="G11" s="45" t="str">
        <f>_xlfn.XLOOKUP(TableFA21323[[#This Row],[Project]],Projects[Project],Projects[Work Email (no gmail/hotmail/etc.)],"")</f>
        <v>alejarri@fiu.edu</v>
      </c>
      <c r="H11" s="45" t="str">
        <f>_xlfn.XLOOKUP(TableFA21323[[#This Row],[Project]],Projects[Project],Projects[Affiliation (Company/University/Place of Work)],"")</f>
        <v>FIU</v>
      </c>
      <c r="I11" s="44">
        <f>COUNTIFS(TableFA21323[Project],TableFA21323[[#This Row],[Project]],TableFA21323[Program],TableFA21323[[#This Row],[Program]])</f>
        <v>5</v>
      </c>
      <c r="J11" s="44">
        <f>COUNTIFS(TableFA21323[Project],TableFA21323[[#This Row],[Project]])</f>
        <v>5</v>
      </c>
      <c r="K11" s="45"/>
    </row>
    <row r="12" spans="1:14" s="41" customFormat="1" x14ac:dyDescent="0.2">
      <c r="A12" s="80"/>
      <c r="B12" s="41" t="s">
        <v>54</v>
      </c>
      <c r="C12" s="41" t="s">
        <v>55</v>
      </c>
      <c r="D12" s="41" t="s">
        <v>31</v>
      </c>
      <c r="E12" s="45" t="s">
        <v>47</v>
      </c>
      <c r="F12" s="45" t="str">
        <f>_xlfn.XLOOKUP(TableFA21323[[#This Row],[Project]],Projects[Project],Projects[Full Name],"")</f>
        <v>Alejandro Arrieta</v>
      </c>
      <c r="G12" s="45" t="str">
        <f>_xlfn.XLOOKUP(TableFA21323[[#This Row],[Project]],Projects[Project],Projects[Work Email (no gmail/hotmail/etc.)],"")</f>
        <v>alejarri@fiu.edu</v>
      </c>
      <c r="H12" s="45" t="str">
        <f>_xlfn.XLOOKUP(TableFA21323[[#This Row],[Project]],Projects[Project],Projects[Affiliation (Company/University/Place of Work)],"")</f>
        <v>FIU</v>
      </c>
      <c r="I12" s="44">
        <f>COUNTIFS(TableFA21323[Project],TableFA21323[[#This Row],[Project]],TableFA21323[Program],TableFA21323[[#This Row],[Program]])</f>
        <v>5</v>
      </c>
      <c r="J12" s="44">
        <f>COUNTIFS(TableFA21323[Project],TableFA21323[[#This Row],[Project]])</f>
        <v>5</v>
      </c>
      <c r="K12" s="45"/>
    </row>
    <row r="13" spans="1:14" ht="15.75" customHeight="1" x14ac:dyDescent="0.2">
      <c r="A13" s="57"/>
      <c r="E13" s="1"/>
      <c r="F13" s="1"/>
      <c r="G13" s="1"/>
      <c r="H13" s="1"/>
      <c r="I13" s="1"/>
      <c r="J13" s="1"/>
      <c r="K13" s="1"/>
    </row>
    <row r="14" spans="1:14" s="41" customFormat="1" x14ac:dyDescent="0.2">
      <c r="A14" s="80">
        <v>3</v>
      </c>
      <c r="B14" s="41" t="s">
        <v>59</v>
      </c>
      <c r="C14" s="41" t="s">
        <v>60</v>
      </c>
      <c r="D14" s="41" t="s">
        <v>31</v>
      </c>
      <c r="E14" s="45" t="s">
        <v>58</v>
      </c>
      <c r="F14" s="45" t="str">
        <f>_xlfn.XLOOKUP(TableFA21323[[#This Row],[Project]],Projects[Project],Projects[Full Name],"")</f>
        <v>Ravi Venugopal</v>
      </c>
      <c r="G14" s="45" t="str">
        <f>_xlfn.XLOOKUP(TableFA21323[[#This Row],[Project]],Projects[Project],Projects[Work Email (no gmail/hotmail/etc.)],"")</f>
        <v>ravi@giggso.com</v>
      </c>
      <c r="H14" s="45" t="str">
        <f>_xlfn.XLOOKUP(TableFA21323[[#This Row],[Project]],Projects[Project],Projects[Affiliation (Company/University/Place of Work)],"")</f>
        <v>Giggso</v>
      </c>
      <c r="I14" s="45">
        <f>COUNTIFS(TableFA21323[Project],TableFA21323[[#This Row],[Project]],TableFA21323[Program],TableFA21323[[#This Row],[Program]])</f>
        <v>5</v>
      </c>
      <c r="J14" s="45">
        <f>COUNTIFS(TableFA21323[Project],TableFA21323[[#This Row],[Project]])</f>
        <v>5</v>
      </c>
      <c r="K14" s="45" t="s">
        <v>867</v>
      </c>
    </row>
    <row r="15" spans="1:14" s="41" customFormat="1" x14ac:dyDescent="0.2">
      <c r="A15" s="80"/>
      <c r="B15" s="46" t="s">
        <v>61</v>
      </c>
      <c r="C15" s="41" t="s">
        <v>62</v>
      </c>
      <c r="D15" s="41" t="s">
        <v>31</v>
      </c>
      <c r="E15" s="45" t="s">
        <v>58</v>
      </c>
      <c r="F15" s="45" t="str">
        <f>_xlfn.XLOOKUP(TableFA21323[[#This Row],[Project]],Projects[Project],Projects[Full Name],"")</f>
        <v>Ravi Venugopal</v>
      </c>
      <c r="G15" s="45" t="str">
        <f>_xlfn.XLOOKUP(TableFA21323[[#This Row],[Project]],Projects[Project],Projects[Work Email (no gmail/hotmail/etc.)],"")</f>
        <v>ravi@giggso.com</v>
      </c>
      <c r="H15" s="45" t="str">
        <f>_xlfn.XLOOKUP(TableFA21323[[#This Row],[Project]],Projects[Project],Projects[Affiliation (Company/University/Place of Work)],"")</f>
        <v>Giggso</v>
      </c>
      <c r="I15" s="44">
        <f>COUNTIFS(TableFA21323[Project],TableFA21323[[#This Row],[Project]],TableFA21323[Program],TableFA21323[[#This Row],[Program]])</f>
        <v>5</v>
      </c>
      <c r="J15" s="44">
        <f>COUNTIFS(TableFA21323[Project],TableFA21323[[#This Row],[Project]])</f>
        <v>5</v>
      </c>
      <c r="K15" s="45"/>
    </row>
    <row r="16" spans="1:14" s="41" customFormat="1" x14ac:dyDescent="0.2">
      <c r="A16" s="80"/>
      <c r="B16" s="41" t="s">
        <v>56</v>
      </c>
      <c r="C16" s="43" t="s">
        <v>57</v>
      </c>
      <c r="D16" s="43" t="s">
        <v>31</v>
      </c>
      <c r="E16" s="44" t="s">
        <v>58</v>
      </c>
      <c r="F16" s="45" t="str">
        <f>_xlfn.XLOOKUP(TableFA21323[[#This Row],[Project]],Projects[Project],Projects[Full Name],"")</f>
        <v>Ravi Venugopal</v>
      </c>
      <c r="G16" s="45" t="str">
        <f>_xlfn.XLOOKUP(TableFA21323[[#This Row],[Project]],Projects[Project],Projects[Work Email (no gmail/hotmail/etc.)],"")</f>
        <v>ravi@giggso.com</v>
      </c>
      <c r="H16" s="45" t="str">
        <f>_xlfn.XLOOKUP(TableFA21323[[#This Row],[Project]],Projects[Project],Projects[Affiliation (Company/University/Place of Work)],"")</f>
        <v>Giggso</v>
      </c>
      <c r="I16" s="44">
        <f>COUNTIFS(TableFA21323[Project],TableFA21323[[#This Row],[Project]],TableFA21323[Program],TableFA21323[[#This Row],[Program]])</f>
        <v>5</v>
      </c>
      <c r="J16" s="44">
        <f>COUNTIFS(TableFA21323[Project],TableFA21323[[#This Row],[Project]])</f>
        <v>5</v>
      </c>
      <c r="K16" s="45"/>
    </row>
    <row r="17" spans="1:11" s="41" customFormat="1" x14ac:dyDescent="0.2">
      <c r="A17" s="80"/>
      <c r="B17" s="46" t="s">
        <v>63</v>
      </c>
      <c r="C17" s="41" t="s">
        <v>64</v>
      </c>
      <c r="D17" s="41" t="s">
        <v>31</v>
      </c>
      <c r="E17" s="45" t="s">
        <v>58</v>
      </c>
      <c r="F17" s="45" t="str">
        <f>_xlfn.XLOOKUP(TableFA21323[[#This Row],[Project]],Projects[Project],Projects[Full Name],"")</f>
        <v>Ravi Venugopal</v>
      </c>
      <c r="G17" s="45" t="str">
        <f>_xlfn.XLOOKUP(TableFA21323[[#This Row],[Project]],Projects[Project],Projects[Work Email (no gmail/hotmail/etc.)],"")</f>
        <v>ravi@giggso.com</v>
      </c>
      <c r="H17" s="45" t="str">
        <f>_xlfn.XLOOKUP(TableFA21323[[#This Row],[Project]],Projects[Project],Projects[Affiliation (Company/University/Place of Work)],"")</f>
        <v>Giggso</v>
      </c>
      <c r="I17" s="44">
        <f>COUNTIFS(TableFA21323[Project],TableFA21323[[#This Row],[Project]],TableFA21323[Program],TableFA21323[[#This Row],[Program]])</f>
        <v>5</v>
      </c>
      <c r="J17" s="44">
        <f>COUNTIFS(TableFA21323[Project],TableFA21323[[#This Row],[Project]])</f>
        <v>5</v>
      </c>
      <c r="K17" s="45"/>
    </row>
    <row r="18" spans="1:11" s="41" customFormat="1" x14ac:dyDescent="0.2">
      <c r="A18" s="80"/>
      <c r="B18" s="41" t="s">
        <v>65</v>
      </c>
      <c r="C18" s="41" t="s">
        <v>66</v>
      </c>
      <c r="D18" s="41" t="s">
        <v>31</v>
      </c>
      <c r="E18" s="45" t="s">
        <v>58</v>
      </c>
      <c r="F18" s="45" t="str">
        <f>_xlfn.XLOOKUP(TableFA21323[[#This Row],[Project]],Projects[Project],Projects[Full Name],"")</f>
        <v>Ravi Venugopal</v>
      </c>
      <c r="G18" s="45" t="str">
        <f>_xlfn.XLOOKUP(TableFA21323[[#This Row],[Project]],Projects[Project],Projects[Work Email (no gmail/hotmail/etc.)],"")</f>
        <v>ravi@giggso.com</v>
      </c>
      <c r="H18" s="45" t="str">
        <f>_xlfn.XLOOKUP(TableFA21323[[#This Row],[Project]],Projects[Project],Projects[Affiliation (Company/University/Place of Work)],"")</f>
        <v>Giggso</v>
      </c>
      <c r="I18" s="44">
        <f>COUNTIFS(TableFA21323[Project],TableFA21323[[#This Row],[Project]],TableFA21323[Program],TableFA21323[[#This Row],[Program]])</f>
        <v>5</v>
      </c>
      <c r="J18" s="44">
        <f>COUNTIFS(TableFA21323[Project],TableFA21323[[#This Row],[Project]])</f>
        <v>5</v>
      </c>
      <c r="K18" s="45"/>
    </row>
    <row r="19" spans="1:11" s="25" customFormat="1" ht="14" x14ac:dyDescent="0.2">
      <c r="A19" s="58"/>
      <c r="E19" s="59"/>
      <c r="F19" s="59"/>
      <c r="G19" s="59"/>
      <c r="H19" s="59"/>
      <c r="I19" s="59"/>
      <c r="J19" s="59"/>
      <c r="K19" s="59"/>
    </row>
    <row r="20" spans="1:11" s="41" customFormat="1" x14ac:dyDescent="0.2">
      <c r="A20" s="80">
        <v>4</v>
      </c>
      <c r="B20" s="41" t="s">
        <v>70</v>
      </c>
      <c r="C20" s="41" t="s">
        <v>71</v>
      </c>
      <c r="D20" s="41" t="s">
        <v>31</v>
      </c>
      <c r="E20" s="45" t="s">
        <v>69</v>
      </c>
      <c r="F20" s="45" t="str">
        <f>_xlfn.XLOOKUP(TableFA21323[[#This Row],[Project]],Projects[Project],Projects[Full Name],"")</f>
        <v>Olamide Oduntan</v>
      </c>
      <c r="G20" s="45" t="str">
        <f>_xlfn.XLOOKUP(TableFA21323[[#This Row],[Project]],Projects[Project],Projects[Work Email (no gmail/hotmail/etc.)],"")</f>
        <v>oodun003@fiu.edu</v>
      </c>
      <c r="H20" s="45" t="str">
        <f>_xlfn.XLOOKUP(TableFA21323[[#This Row],[Project]],Projects[Project],Projects[Affiliation (Company/University/Place of Work)],"")</f>
        <v>Florida International University</v>
      </c>
      <c r="I20" s="44">
        <f>COUNTIFS(TableFA21323[Project],TableFA21323[[#This Row],[Project]],TableFA21323[Program],TableFA21323[[#This Row],[Program]])</f>
        <v>5</v>
      </c>
      <c r="J20" s="44">
        <f>COUNTIFS(TableFA21323[Project],TableFA21323[[#This Row],[Project]])</f>
        <v>5</v>
      </c>
      <c r="K20" s="45"/>
    </row>
    <row r="21" spans="1:11" s="41" customFormat="1" x14ac:dyDescent="0.2">
      <c r="A21" s="80"/>
      <c r="B21" s="41" t="s">
        <v>72</v>
      </c>
      <c r="C21" s="41" t="s">
        <v>73</v>
      </c>
      <c r="D21" s="41" t="s">
        <v>31</v>
      </c>
      <c r="E21" s="45" t="s">
        <v>69</v>
      </c>
      <c r="F21" s="45" t="str">
        <f>_xlfn.XLOOKUP(TableFA21323[[#This Row],[Project]],Projects[Project],Projects[Full Name],"")</f>
        <v>Olamide Oduntan</v>
      </c>
      <c r="G21" s="45" t="str">
        <f>_xlfn.XLOOKUP(TableFA21323[[#This Row],[Project]],Projects[Project],Projects[Work Email (no gmail/hotmail/etc.)],"")</f>
        <v>oodun003@fiu.edu</v>
      </c>
      <c r="H21" s="45" t="str">
        <f>_xlfn.XLOOKUP(TableFA21323[[#This Row],[Project]],Projects[Project],Projects[Affiliation (Company/University/Place of Work)],"")</f>
        <v>Florida International University</v>
      </c>
      <c r="I21" s="44">
        <f>COUNTIFS(TableFA21323[Project],TableFA21323[[#This Row],[Project]],TableFA21323[Program],TableFA21323[[#This Row],[Program]])</f>
        <v>5</v>
      </c>
      <c r="J21" s="44">
        <f>COUNTIFS(TableFA21323[Project],TableFA21323[[#This Row],[Project]])</f>
        <v>5</v>
      </c>
      <c r="K21" s="45"/>
    </row>
    <row r="22" spans="1:11" s="41" customFormat="1" x14ac:dyDescent="0.2">
      <c r="A22" s="80"/>
      <c r="B22" s="43" t="s">
        <v>67</v>
      </c>
      <c r="C22" s="43" t="s">
        <v>68</v>
      </c>
      <c r="D22" s="43" t="s">
        <v>31</v>
      </c>
      <c r="E22" s="44" t="s">
        <v>69</v>
      </c>
      <c r="F22" s="45" t="str">
        <f>_xlfn.XLOOKUP(TableFA21323[[#This Row],[Project]],Projects[Project],Projects[Full Name],"")</f>
        <v>Olamide Oduntan</v>
      </c>
      <c r="G22" s="45" t="str">
        <f>_xlfn.XLOOKUP(TableFA21323[[#This Row],[Project]],Projects[Project],Projects[Work Email (no gmail/hotmail/etc.)],"")</f>
        <v>oodun003@fiu.edu</v>
      </c>
      <c r="H22" s="45" t="str">
        <f>_xlfn.XLOOKUP(TableFA21323[[#This Row],[Project]],Projects[Project],Projects[Affiliation (Company/University/Place of Work)],"")</f>
        <v>Florida International University</v>
      </c>
      <c r="I22" s="44">
        <f>COUNTIFS(TableFA21323[Project],TableFA21323[[#This Row],[Project]],TableFA21323[Program],TableFA21323[[#This Row],[Program]])</f>
        <v>5</v>
      </c>
      <c r="J22" s="44">
        <f>COUNTIFS(TableFA21323[Project],TableFA21323[[#This Row],[Project]])</f>
        <v>5</v>
      </c>
      <c r="K22" s="45"/>
    </row>
    <row r="23" spans="1:11" s="41" customFormat="1" x14ac:dyDescent="0.2">
      <c r="A23" s="80"/>
      <c r="B23" s="41" t="s">
        <v>75</v>
      </c>
      <c r="C23" s="41" t="s">
        <v>76</v>
      </c>
      <c r="D23" s="41" t="s">
        <v>31</v>
      </c>
      <c r="E23" s="45" t="s">
        <v>69</v>
      </c>
      <c r="F23" s="45" t="str">
        <f>_xlfn.XLOOKUP(TableFA21323[[#This Row],[Project]],Projects[Project],Projects[Full Name],"")</f>
        <v>Olamide Oduntan</v>
      </c>
      <c r="G23" s="45" t="str">
        <f>_xlfn.XLOOKUP(TableFA21323[[#This Row],[Project]],Projects[Project],Projects[Work Email (no gmail/hotmail/etc.)],"")</f>
        <v>oodun003@fiu.edu</v>
      </c>
      <c r="H23" s="45" t="str">
        <f>_xlfn.XLOOKUP(TableFA21323[[#This Row],[Project]],Projects[Project],Projects[Affiliation (Company/University/Place of Work)],"")</f>
        <v>Florida International University</v>
      </c>
      <c r="I23" s="44">
        <f>COUNTIFS(TableFA21323[Project],TableFA21323[[#This Row],[Project]],TableFA21323[Program],TableFA21323[[#This Row],[Program]])</f>
        <v>5</v>
      </c>
      <c r="J23" s="44">
        <f>COUNTIFS(TableFA21323[Project],TableFA21323[[#This Row],[Project]])</f>
        <v>5</v>
      </c>
      <c r="K23" s="45"/>
    </row>
    <row r="24" spans="1:11" s="41" customFormat="1" x14ac:dyDescent="0.2">
      <c r="A24" s="80"/>
      <c r="B24" s="41" t="s">
        <v>77</v>
      </c>
      <c r="C24" s="41" t="s">
        <v>78</v>
      </c>
      <c r="D24" s="41" t="s">
        <v>31</v>
      </c>
      <c r="E24" s="45" t="s">
        <v>69</v>
      </c>
      <c r="F24" s="45" t="str">
        <f>_xlfn.XLOOKUP(TableFA21323[[#This Row],[Project]],Projects[Project],Projects[Full Name],"")</f>
        <v>Olamide Oduntan</v>
      </c>
      <c r="G24" s="45" t="str">
        <f>_xlfn.XLOOKUP(TableFA21323[[#This Row],[Project]],Projects[Project],Projects[Work Email (no gmail/hotmail/etc.)],"")</f>
        <v>oodun003@fiu.edu</v>
      </c>
      <c r="H24" s="45" t="str">
        <f>_xlfn.XLOOKUP(TableFA21323[[#This Row],[Project]],Projects[Project],Projects[Affiliation (Company/University/Place of Work)],"")</f>
        <v>Florida International University</v>
      </c>
      <c r="I24" s="44">
        <f>COUNTIFS(TableFA21323[Project],TableFA21323[[#This Row],[Project]],TableFA21323[Program],TableFA21323[[#This Row],[Program]])</f>
        <v>5</v>
      </c>
      <c r="J24" s="44">
        <f>COUNTIFS(TableFA21323[Project],TableFA21323[[#This Row],[Project]])</f>
        <v>5</v>
      </c>
      <c r="K24" s="45"/>
    </row>
    <row r="25" spans="1:11" s="25" customFormat="1" ht="14" x14ac:dyDescent="0.2">
      <c r="A25" s="58"/>
      <c r="E25" s="59"/>
      <c r="F25" s="59"/>
      <c r="G25" s="59"/>
      <c r="H25" s="59"/>
      <c r="I25" s="59"/>
      <c r="J25" s="59"/>
      <c r="K25" s="59"/>
    </row>
    <row r="26" spans="1:11" s="41" customFormat="1" x14ac:dyDescent="0.2">
      <c r="A26" s="80">
        <v>5</v>
      </c>
      <c r="B26" s="41" t="s">
        <v>82</v>
      </c>
      <c r="C26" s="41" t="s">
        <v>83</v>
      </c>
      <c r="D26" s="41" t="s">
        <v>31</v>
      </c>
      <c r="E26" s="45" t="s">
        <v>81</v>
      </c>
      <c r="F26" s="45" t="str">
        <f>_xlfn.XLOOKUP(TableFA21323[[#This Row],[Project]],Projects[Project],Projects[Full Name],"")</f>
        <v>Christian Poellabauer</v>
      </c>
      <c r="G26" s="45" t="str">
        <f>_xlfn.XLOOKUP(TableFA21323[[#This Row],[Project]],Projects[Project],Projects[Work Email (no gmail/hotmail/etc.)],"")</f>
        <v>cpoellab@fiu.edu</v>
      </c>
      <c r="H26" s="45" t="str">
        <f>_xlfn.XLOOKUP(TableFA21323[[#This Row],[Project]],Projects[Project],Projects[Affiliation (Company/University/Place of Work)],"")</f>
        <v>Florida International University</v>
      </c>
      <c r="I26" s="44">
        <f>COUNTIFS(TableFA21323[Project],TableFA21323[[#This Row],[Project]],TableFA21323[Program],TableFA21323[[#This Row],[Program]])</f>
        <v>5</v>
      </c>
      <c r="J26" s="44">
        <f>COUNTIFS(TableFA21323[Project],TableFA21323[[#This Row],[Project]])</f>
        <v>5</v>
      </c>
      <c r="K26" s="45"/>
    </row>
    <row r="27" spans="1:11" s="41" customFormat="1" x14ac:dyDescent="0.2">
      <c r="A27" s="80"/>
      <c r="B27" s="41" t="s">
        <v>84</v>
      </c>
      <c r="C27" s="41" t="s">
        <v>85</v>
      </c>
      <c r="D27" s="41" t="s">
        <v>31</v>
      </c>
      <c r="E27" s="45" t="s">
        <v>81</v>
      </c>
      <c r="F27" s="45" t="str">
        <f>_xlfn.XLOOKUP(TableFA21323[[#This Row],[Project]],Projects[Project],Projects[Full Name],"")</f>
        <v>Christian Poellabauer</v>
      </c>
      <c r="G27" s="45" t="str">
        <f>_xlfn.XLOOKUP(TableFA21323[[#This Row],[Project]],Projects[Project],Projects[Work Email (no gmail/hotmail/etc.)],"")</f>
        <v>cpoellab@fiu.edu</v>
      </c>
      <c r="H27" s="45" t="str">
        <f>_xlfn.XLOOKUP(TableFA21323[[#This Row],[Project]],Projects[Project],Projects[Affiliation (Company/University/Place of Work)],"")</f>
        <v>Florida International University</v>
      </c>
      <c r="I27" s="44">
        <f>COUNTIFS(TableFA21323[Project],TableFA21323[[#This Row],[Project]],TableFA21323[Program],TableFA21323[[#This Row],[Program]])</f>
        <v>5</v>
      </c>
      <c r="J27" s="44">
        <f>COUNTIFS(TableFA21323[Project],TableFA21323[[#This Row],[Project]])</f>
        <v>5</v>
      </c>
      <c r="K27" s="45"/>
    </row>
    <row r="28" spans="1:11" s="41" customFormat="1" x14ac:dyDescent="0.2">
      <c r="A28" s="80"/>
      <c r="B28" s="41" t="s">
        <v>86</v>
      </c>
      <c r="C28" s="41" t="s">
        <v>87</v>
      </c>
      <c r="D28" s="41" t="s">
        <v>31</v>
      </c>
      <c r="E28" s="41" t="s">
        <v>81</v>
      </c>
      <c r="F28" s="45" t="str">
        <f>_xlfn.XLOOKUP(TableFA21323[[#This Row],[Project]],Projects[Project],Projects[Full Name],"")</f>
        <v>Christian Poellabauer</v>
      </c>
      <c r="G28" s="45" t="str">
        <f>_xlfn.XLOOKUP(TableFA21323[[#This Row],[Project]],Projects[Project],Projects[Work Email (no gmail/hotmail/etc.)],"")</f>
        <v>cpoellab@fiu.edu</v>
      </c>
      <c r="H28" s="45" t="str">
        <f>_xlfn.XLOOKUP(TableFA21323[[#This Row],[Project]],Projects[Project],Projects[Affiliation (Company/University/Place of Work)],"")</f>
        <v>Florida International University</v>
      </c>
      <c r="I28" s="45">
        <f>COUNTIFS(TableFA21323[Project],TableFA21323[[#This Row],[Project]],TableFA21323[Program],TableFA21323[[#This Row],[Program]])</f>
        <v>5</v>
      </c>
      <c r="J28" s="45">
        <f>COUNTIFS(TableFA21323[Project],TableFA21323[[#This Row],[Project]])</f>
        <v>5</v>
      </c>
      <c r="K28" s="45"/>
    </row>
    <row r="29" spans="1:11" s="41" customFormat="1" x14ac:dyDescent="0.2">
      <c r="A29" s="80"/>
      <c r="B29" s="41" t="s">
        <v>79</v>
      </c>
      <c r="C29" s="41" t="s">
        <v>80</v>
      </c>
      <c r="D29" s="41" t="s">
        <v>31</v>
      </c>
      <c r="E29" s="45" t="s">
        <v>81</v>
      </c>
      <c r="F29" s="45" t="str">
        <f>_xlfn.XLOOKUP(TableFA21323[[#This Row],[Project]],Projects[Project],Projects[Full Name],"")</f>
        <v>Christian Poellabauer</v>
      </c>
      <c r="G29" s="45" t="str">
        <f>_xlfn.XLOOKUP(TableFA21323[[#This Row],[Project]],Projects[Project],Projects[Work Email (no gmail/hotmail/etc.)],"")</f>
        <v>cpoellab@fiu.edu</v>
      </c>
      <c r="H29" s="45" t="str">
        <f>_xlfn.XLOOKUP(TableFA21323[[#This Row],[Project]],Projects[Project],Projects[Affiliation (Company/University/Place of Work)],"")</f>
        <v>Florida International University</v>
      </c>
      <c r="I29" s="44">
        <f>COUNTIFS(TableFA21323[Project],TableFA21323[[#This Row],[Project]],TableFA21323[Program],TableFA21323[[#This Row],[Program]])</f>
        <v>5</v>
      </c>
      <c r="J29" s="44">
        <f>COUNTIFS(TableFA21323[Project],TableFA21323[[#This Row],[Project]])</f>
        <v>5</v>
      </c>
      <c r="K29" s="45"/>
    </row>
    <row r="30" spans="1:11" s="41" customFormat="1" x14ac:dyDescent="0.2">
      <c r="A30" s="80"/>
      <c r="B30" s="41" t="s">
        <v>88</v>
      </c>
      <c r="C30" s="41" t="s">
        <v>89</v>
      </c>
      <c r="D30" s="41" t="s">
        <v>31</v>
      </c>
      <c r="E30" s="45" t="s">
        <v>81</v>
      </c>
      <c r="F30" s="45" t="str">
        <f>_xlfn.XLOOKUP(TableFA21323[[#This Row],[Project]],Projects[Project],Projects[Full Name],"")</f>
        <v>Christian Poellabauer</v>
      </c>
      <c r="G30" s="45" t="str">
        <f>_xlfn.XLOOKUP(TableFA21323[[#This Row],[Project]],Projects[Project],Projects[Work Email (no gmail/hotmail/etc.)],"")</f>
        <v>cpoellab@fiu.edu</v>
      </c>
      <c r="H30" s="45" t="str">
        <f>_xlfn.XLOOKUP(TableFA21323[[#This Row],[Project]],Projects[Project],Projects[Affiliation (Company/University/Place of Work)],"")</f>
        <v>Florida International University</v>
      </c>
      <c r="I30" s="44">
        <f>COUNTIFS(TableFA21323[Project],TableFA21323[[#This Row],[Project]],TableFA21323[Program],TableFA21323[[#This Row],[Program]])</f>
        <v>5</v>
      </c>
      <c r="J30" s="44">
        <f>COUNTIFS(TableFA21323[Project],TableFA21323[[#This Row],[Project]])</f>
        <v>5</v>
      </c>
      <c r="K30" s="45"/>
    </row>
    <row r="31" spans="1:11" s="25" customFormat="1" ht="14" x14ac:dyDescent="0.2">
      <c r="A31" s="58"/>
      <c r="E31" s="59"/>
      <c r="F31" s="59"/>
      <c r="G31" s="59"/>
      <c r="H31" s="59"/>
      <c r="I31" s="59"/>
      <c r="J31" s="59"/>
      <c r="K31" s="59"/>
    </row>
    <row r="32" spans="1:11" s="41" customFormat="1" x14ac:dyDescent="0.2">
      <c r="A32" s="80">
        <v>6</v>
      </c>
      <c r="B32" s="43" t="s">
        <v>90</v>
      </c>
      <c r="C32" s="43" t="s">
        <v>91</v>
      </c>
      <c r="D32" s="43" t="s">
        <v>31</v>
      </c>
      <c r="E32" s="44" t="s">
        <v>92</v>
      </c>
      <c r="F32" s="44" t="str">
        <f>_xlfn.XLOOKUP(TableFA21323[[#This Row],[Project]],Projects[Project],Projects[Full Name],"")</f>
        <v>Luis Delgado</v>
      </c>
      <c r="G32" s="44" t="str">
        <f>_xlfn.XLOOKUP(TableFA21323[[#This Row],[Project]],Projects[Project],Projects[Work Email (no gmail/hotmail/etc.)],"")</f>
        <v>ldelg093@fiu.edu</v>
      </c>
      <c r="H32" s="44" t="str">
        <f>_xlfn.XLOOKUP(TableFA21323[[#This Row],[Project]],Projects[Project],Projects[Affiliation (Company/University/Place of Work)],"")</f>
        <v>Florida International University</v>
      </c>
      <c r="I32" s="44">
        <f>COUNTIFS(TableFA21323[Project],TableFA21323[[#This Row],[Project]],TableFA21323[Program],TableFA21323[[#This Row],[Program]])</f>
        <v>4</v>
      </c>
      <c r="J32" s="44">
        <f>COUNTIFS(TableFA21323[Project],TableFA21323[[#This Row],[Project]])</f>
        <v>4</v>
      </c>
      <c r="K32" s="45"/>
    </row>
    <row r="33" spans="1:11" s="41" customFormat="1" x14ac:dyDescent="0.2">
      <c r="A33" s="80"/>
      <c r="B33" s="41" t="s">
        <v>93</v>
      </c>
      <c r="C33" s="41" t="s">
        <v>94</v>
      </c>
      <c r="D33" s="41" t="s">
        <v>31</v>
      </c>
      <c r="E33" s="45" t="s">
        <v>92</v>
      </c>
      <c r="F33" s="45" t="str">
        <f>_xlfn.XLOOKUP(TableFA21323[[#This Row],[Project]],Projects[Project],Projects[Full Name],"")</f>
        <v>Luis Delgado</v>
      </c>
      <c r="G33" s="45" t="str">
        <f>_xlfn.XLOOKUP(TableFA21323[[#This Row],[Project]],Projects[Project],Projects[Work Email (no gmail/hotmail/etc.)],"")</f>
        <v>ldelg093@fiu.edu</v>
      </c>
      <c r="H33" s="45" t="str">
        <f>_xlfn.XLOOKUP(TableFA21323[[#This Row],[Project]],Projects[Project],Projects[Affiliation (Company/University/Place of Work)],"")</f>
        <v>Florida International University</v>
      </c>
      <c r="I33" s="44">
        <f>COUNTIFS(TableFA21323[Project],TableFA21323[[#This Row],[Project]],TableFA21323[Program],TableFA21323[[#This Row],[Program]])</f>
        <v>4</v>
      </c>
      <c r="J33" s="44">
        <f>COUNTIFS(TableFA21323[Project],TableFA21323[[#This Row],[Project]])</f>
        <v>4</v>
      </c>
      <c r="K33" s="45"/>
    </row>
    <row r="34" spans="1:11" s="41" customFormat="1" x14ac:dyDescent="0.2">
      <c r="A34" s="80"/>
      <c r="B34" s="41" t="s">
        <v>95</v>
      </c>
      <c r="C34" s="41" t="s">
        <v>96</v>
      </c>
      <c r="D34" s="41" t="s">
        <v>31</v>
      </c>
      <c r="E34" s="45" t="s">
        <v>92</v>
      </c>
      <c r="F34" s="45" t="str">
        <f>_xlfn.XLOOKUP(TableFA21323[[#This Row],[Project]],Projects[Project],Projects[Full Name],"")</f>
        <v>Luis Delgado</v>
      </c>
      <c r="G34" s="45" t="str">
        <f>_xlfn.XLOOKUP(TableFA21323[[#This Row],[Project]],Projects[Project],Projects[Work Email (no gmail/hotmail/etc.)],"")</f>
        <v>ldelg093@fiu.edu</v>
      </c>
      <c r="H34" s="45" t="str">
        <f>_xlfn.XLOOKUP(TableFA21323[[#This Row],[Project]],Projects[Project],Projects[Affiliation (Company/University/Place of Work)],"")</f>
        <v>Florida International University</v>
      </c>
      <c r="I34" s="44">
        <f>COUNTIFS(TableFA21323[Project],TableFA21323[[#This Row],[Project]],TableFA21323[Program],TableFA21323[[#This Row],[Program]])</f>
        <v>4</v>
      </c>
      <c r="J34" s="44">
        <f>COUNTIFS(TableFA21323[Project],TableFA21323[[#This Row],[Project]])</f>
        <v>4</v>
      </c>
      <c r="K34" s="45"/>
    </row>
    <row r="35" spans="1:11" s="41" customFormat="1" x14ac:dyDescent="0.2">
      <c r="A35" s="80"/>
      <c r="B35" s="73" t="s">
        <v>97</v>
      </c>
      <c r="C35" s="41" t="s">
        <v>98</v>
      </c>
      <c r="D35" s="41" t="s">
        <v>31</v>
      </c>
      <c r="E35" s="45" t="s">
        <v>92</v>
      </c>
      <c r="F35" s="45" t="str">
        <f>_xlfn.XLOOKUP(TableFA21323[[#This Row],[Project]],Projects[Project],Projects[Full Name],"")</f>
        <v>Luis Delgado</v>
      </c>
      <c r="G35" s="45" t="str">
        <f>_xlfn.XLOOKUP(TableFA21323[[#This Row],[Project]],Projects[Project],Projects[Work Email (no gmail/hotmail/etc.)],"")</f>
        <v>ldelg093@fiu.edu</v>
      </c>
      <c r="H35" s="45" t="str">
        <f>_xlfn.XLOOKUP(TableFA21323[[#This Row],[Project]],Projects[Project],Projects[Affiliation (Company/University/Place of Work)],"")</f>
        <v>Florida International University</v>
      </c>
      <c r="I35" s="45">
        <f>COUNTIFS(TableFA21323[Project],TableFA21323[[#This Row],[Project]],TableFA21323[Program],TableFA21323[[#This Row],[Program]])</f>
        <v>4</v>
      </c>
      <c r="J35" s="45">
        <f>COUNTIFS(TableFA21323[Project],TableFA21323[[#This Row],[Project]])</f>
        <v>4</v>
      </c>
      <c r="K35" s="45"/>
    </row>
    <row r="36" spans="1:11" s="25" customFormat="1" ht="14" x14ac:dyDescent="0.2">
      <c r="A36" s="58"/>
      <c r="B36" s="61"/>
      <c r="E36" s="59"/>
      <c r="F36" s="59"/>
      <c r="G36" s="59"/>
      <c r="H36" s="59"/>
      <c r="I36" s="59"/>
      <c r="J36" s="59"/>
      <c r="K36" s="59"/>
    </row>
    <row r="37" spans="1:11" s="41" customFormat="1" x14ac:dyDescent="0.2">
      <c r="A37" s="80">
        <v>7</v>
      </c>
      <c r="B37" s="43" t="s">
        <v>99</v>
      </c>
      <c r="C37" s="43" t="s">
        <v>100</v>
      </c>
      <c r="D37" s="43" t="s">
        <v>31</v>
      </c>
      <c r="E37" s="44" t="s">
        <v>101</v>
      </c>
      <c r="F37" s="45" t="str">
        <f>_xlfn.XLOOKUP(TableFA21323[[#This Row],[Project]],Projects[Project],Projects[Full Name],"")</f>
        <v>Baha Ali</v>
      </c>
      <c r="G37" s="45" t="str">
        <f>_xlfn.XLOOKUP(TableFA21323[[#This Row],[Project]],Projects[Project],Projects[Work Email (no gmail/hotmail/etc.)],"")</f>
        <v>bali011@fiu.edu</v>
      </c>
      <c r="H37" s="45" t="str">
        <f>_xlfn.XLOOKUP(TableFA21323[[#This Row],[Project]],Projects[Project],Projects[Affiliation (Company/University/Place of Work)],"")</f>
        <v>Florida International University</v>
      </c>
      <c r="I37" s="44">
        <f>COUNTIFS(TableFA21323[Project],TableFA21323[[#This Row],[Project]],TableFA21323[Program],TableFA21323[[#This Row],[Program]])</f>
        <v>5</v>
      </c>
      <c r="J37" s="44">
        <f>COUNTIFS(TableFA21323[Project],TableFA21323[[#This Row],[Project]])</f>
        <v>5</v>
      </c>
      <c r="K37" s="45"/>
    </row>
    <row r="38" spans="1:11" s="41" customFormat="1" x14ac:dyDescent="0.2">
      <c r="A38" s="80"/>
      <c r="B38" s="41" t="s">
        <v>102</v>
      </c>
      <c r="C38" s="41" t="s">
        <v>103</v>
      </c>
      <c r="D38" s="41" t="s">
        <v>31</v>
      </c>
      <c r="E38" s="45" t="s">
        <v>101</v>
      </c>
      <c r="F38" s="45" t="str">
        <f>_xlfn.XLOOKUP(TableFA21323[[#This Row],[Project]],Projects[Project],Projects[Full Name],"")</f>
        <v>Baha Ali</v>
      </c>
      <c r="G38" s="45" t="str">
        <f>_xlfn.XLOOKUP(TableFA21323[[#This Row],[Project]],Projects[Project],Projects[Work Email (no gmail/hotmail/etc.)],"")</f>
        <v>bali011@fiu.edu</v>
      </c>
      <c r="H38" s="45" t="str">
        <f>_xlfn.XLOOKUP(TableFA21323[[#This Row],[Project]],Projects[Project],Projects[Affiliation (Company/University/Place of Work)],"")</f>
        <v>Florida International University</v>
      </c>
      <c r="I38" s="44">
        <f>COUNTIFS(TableFA21323[Project],TableFA21323[[#This Row],[Project]],TableFA21323[Program],TableFA21323[[#This Row],[Program]])</f>
        <v>5</v>
      </c>
      <c r="J38" s="44">
        <f>COUNTIFS(TableFA21323[Project],TableFA21323[[#This Row],[Project]])</f>
        <v>5</v>
      </c>
      <c r="K38" s="45"/>
    </row>
    <row r="39" spans="1:11" s="41" customFormat="1" x14ac:dyDescent="0.2">
      <c r="A39" s="80"/>
      <c r="B39" s="41" t="s">
        <v>104</v>
      </c>
      <c r="C39" s="41" t="s">
        <v>105</v>
      </c>
      <c r="D39" s="41" t="s">
        <v>31</v>
      </c>
      <c r="E39" s="47" t="s">
        <v>101</v>
      </c>
      <c r="F39" s="45" t="str">
        <f>_xlfn.XLOOKUP(TableFA21323[[#This Row],[Project]],Projects[Project],Projects[Full Name],"")</f>
        <v>Baha Ali</v>
      </c>
      <c r="G39" s="45" t="str">
        <f>_xlfn.XLOOKUP(TableFA21323[[#This Row],[Project]],Projects[Project],Projects[Work Email (no gmail/hotmail/etc.)],"")</f>
        <v>bali011@fiu.edu</v>
      </c>
      <c r="H39" s="45" t="str">
        <f>_xlfn.XLOOKUP(TableFA21323[[#This Row],[Project]],Projects[Project],Projects[Affiliation (Company/University/Place of Work)],"")</f>
        <v>Florida International University</v>
      </c>
      <c r="I39" s="44">
        <f>COUNTIFS(TableFA21323[Project],TableFA21323[[#This Row],[Project]],TableFA21323[Program],TableFA21323[[#This Row],[Program]])</f>
        <v>5</v>
      </c>
      <c r="J39" s="44">
        <f>COUNTIFS(TableFA21323[Project],TableFA21323[[#This Row],[Project]])</f>
        <v>5</v>
      </c>
      <c r="K39" s="45"/>
    </row>
    <row r="40" spans="1:11" s="41" customFormat="1" x14ac:dyDescent="0.2">
      <c r="A40" s="80"/>
      <c r="B40" s="41" t="s">
        <v>106</v>
      </c>
      <c r="C40" s="41" t="s">
        <v>107</v>
      </c>
      <c r="D40" s="41" t="s">
        <v>31</v>
      </c>
      <c r="E40" s="45" t="s">
        <v>101</v>
      </c>
      <c r="F40" s="45" t="str">
        <f>_xlfn.XLOOKUP(TableFA21323[[#This Row],[Project]],Projects[Project],Projects[Full Name],"")</f>
        <v>Baha Ali</v>
      </c>
      <c r="G40" s="45" t="str">
        <f>_xlfn.XLOOKUP(TableFA21323[[#This Row],[Project]],Projects[Project],Projects[Work Email (no gmail/hotmail/etc.)],"")</f>
        <v>bali011@fiu.edu</v>
      </c>
      <c r="H40" s="45" t="str">
        <f>_xlfn.XLOOKUP(TableFA21323[[#This Row],[Project]],Projects[Project],Projects[Affiliation (Company/University/Place of Work)],"")</f>
        <v>Florida International University</v>
      </c>
      <c r="I40" s="44">
        <f>COUNTIFS(TableFA21323[Project],TableFA21323[[#This Row],[Project]],TableFA21323[Program],TableFA21323[[#This Row],[Program]])</f>
        <v>5</v>
      </c>
      <c r="J40" s="44">
        <f>COUNTIFS(TableFA21323[Project],TableFA21323[[#This Row],[Project]])</f>
        <v>5</v>
      </c>
      <c r="K40" s="45"/>
    </row>
    <row r="41" spans="1:11" s="43" customFormat="1" x14ac:dyDescent="0.2">
      <c r="A41" s="80"/>
      <c r="B41" s="41" t="s">
        <v>108</v>
      </c>
      <c r="C41" s="41" t="s">
        <v>109</v>
      </c>
      <c r="D41" s="41" t="s">
        <v>31</v>
      </c>
      <c r="E41" s="45" t="s">
        <v>101</v>
      </c>
      <c r="F41" s="45" t="str">
        <f>_xlfn.XLOOKUP(TableFA21323[[#This Row],[Project]],Projects[Project],Projects[Full Name],"")</f>
        <v>Baha Ali</v>
      </c>
      <c r="G41" s="45" t="str">
        <f>_xlfn.XLOOKUP(TableFA21323[[#This Row],[Project]],Projects[Project],Projects[Work Email (no gmail/hotmail/etc.)],"")</f>
        <v>bali011@fiu.edu</v>
      </c>
      <c r="H41" s="45" t="str">
        <f>_xlfn.XLOOKUP(TableFA21323[[#This Row],[Project]],Projects[Project],Projects[Affiliation (Company/University/Place of Work)],"")</f>
        <v>Florida International University</v>
      </c>
      <c r="I41" s="44">
        <f>COUNTIFS(TableFA21323[Project],TableFA21323[[#This Row],[Project]],TableFA21323[Program],TableFA21323[[#This Row],[Program]])</f>
        <v>5</v>
      </c>
      <c r="J41" s="44">
        <f>COUNTIFS(TableFA21323[Project],TableFA21323[[#This Row],[Project]])</f>
        <v>5</v>
      </c>
      <c r="K41" s="45"/>
    </row>
    <row r="42" spans="1:11" s="62" customFormat="1" ht="14" x14ac:dyDescent="0.2">
      <c r="A42" s="58"/>
      <c r="B42" s="25"/>
      <c r="C42" s="25"/>
      <c r="D42" s="25"/>
      <c r="E42" s="59"/>
      <c r="F42" s="59"/>
      <c r="G42" s="59"/>
      <c r="H42" s="59"/>
      <c r="I42" s="59"/>
      <c r="J42" s="59"/>
      <c r="K42" s="59"/>
    </row>
    <row r="43" spans="1:11" s="48" customFormat="1" x14ac:dyDescent="0.2">
      <c r="A43" s="81">
        <v>8</v>
      </c>
      <c r="B43" s="41" t="s">
        <v>114</v>
      </c>
      <c r="C43" s="41" t="s">
        <v>115</v>
      </c>
      <c r="D43" s="41" t="s">
        <v>31</v>
      </c>
      <c r="E43" s="45" t="s">
        <v>113</v>
      </c>
      <c r="F43" s="45" t="str">
        <f>_xlfn.XLOOKUP(TableFA21323[[#This Row],[Project]],Projects[Project],Projects[Full Name],"")</f>
        <v>Jernai Bennett</v>
      </c>
      <c r="G43" s="45" t="str">
        <f>_xlfn.XLOOKUP(TableFA21323[[#This Row],[Project]],Projects[Project],Projects[Work Email (no gmail/hotmail/etc.)],"")</f>
        <v>jbenn058@fiu.edu</v>
      </c>
      <c r="H43" s="45" t="str">
        <f>_xlfn.XLOOKUP(TableFA21323[[#This Row],[Project]],Projects[Project],Projects[Affiliation (Company/University/Place of Work)],"")</f>
        <v>Florida International University</v>
      </c>
      <c r="I43" s="44">
        <f>COUNTIFS(TableFA21323[Project],TableFA21323[[#This Row],[Project]],TableFA21323[Program],TableFA21323[[#This Row],[Program]])</f>
        <v>5</v>
      </c>
      <c r="J43" s="44">
        <f>COUNTIFS(TableFA21323[Project],TableFA21323[[#This Row],[Project]])</f>
        <v>5</v>
      </c>
      <c r="K43" s="45"/>
    </row>
    <row r="44" spans="1:11" s="43" customFormat="1" x14ac:dyDescent="0.2">
      <c r="A44" s="81"/>
      <c r="B44" s="41" t="s">
        <v>116</v>
      </c>
      <c r="C44" s="41" t="s">
        <v>117</v>
      </c>
      <c r="D44" s="41" t="s">
        <v>31</v>
      </c>
      <c r="E44" s="45" t="s">
        <v>113</v>
      </c>
      <c r="F44" s="45" t="str">
        <f>_xlfn.XLOOKUP(TableFA21323[[#This Row],[Project]],Projects[Project],Projects[Full Name],"")</f>
        <v>Jernai Bennett</v>
      </c>
      <c r="G44" s="45" t="str">
        <f>_xlfn.XLOOKUP(TableFA21323[[#This Row],[Project]],Projects[Project],Projects[Work Email (no gmail/hotmail/etc.)],"")</f>
        <v>jbenn058@fiu.edu</v>
      </c>
      <c r="H44" s="45" t="str">
        <f>_xlfn.XLOOKUP(TableFA21323[[#This Row],[Project]],Projects[Project],Projects[Affiliation (Company/University/Place of Work)],"")</f>
        <v>Florida International University</v>
      </c>
      <c r="I44" s="44">
        <f>COUNTIFS(TableFA21323[Project],TableFA21323[[#This Row],[Project]],TableFA21323[Program],TableFA21323[[#This Row],[Program]])</f>
        <v>5</v>
      </c>
      <c r="J44" s="44">
        <f>COUNTIFS(TableFA21323[Project],TableFA21323[[#This Row],[Project]])</f>
        <v>5</v>
      </c>
      <c r="K44" s="45"/>
    </row>
    <row r="45" spans="1:11" s="41" customFormat="1" x14ac:dyDescent="0.2">
      <c r="A45" s="81"/>
      <c r="B45" s="41" t="s">
        <v>118</v>
      </c>
      <c r="C45" s="41" t="s">
        <v>119</v>
      </c>
      <c r="D45" s="41" t="s">
        <v>31</v>
      </c>
      <c r="E45" s="45" t="s">
        <v>113</v>
      </c>
      <c r="F45" s="45" t="str">
        <f>_xlfn.XLOOKUP(TableFA21323[[#This Row],[Project]],Projects[Project],Projects[Full Name],"")</f>
        <v>Jernai Bennett</v>
      </c>
      <c r="G45" s="45" t="str">
        <f>_xlfn.XLOOKUP(TableFA21323[[#This Row],[Project]],Projects[Project],Projects[Work Email (no gmail/hotmail/etc.)],"")</f>
        <v>jbenn058@fiu.edu</v>
      </c>
      <c r="H45" s="45" t="str">
        <f>_xlfn.XLOOKUP(TableFA21323[[#This Row],[Project]],Projects[Project],Projects[Affiliation (Company/University/Place of Work)],"")</f>
        <v>Florida International University</v>
      </c>
      <c r="I45" s="44">
        <f>COUNTIFS(TableFA21323[Project],TableFA21323[[#This Row],[Project]],TableFA21323[Program],TableFA21323[[#This Row],[Program]])</f>
        <v>5</v>
      </c>
      <c r="J45" s="44">
        <f>COUNTIFS(TableFA21323[Project],TableFA21323[[#This Row],[Project]])</f>
        <v>5</v>
      </c>
      <c r="K45" s="45"/>
    </row>
    <row r="46" spans="1:11" s="41" customFormat="1" x14ac:dyDescent="0.2">
      <c r="A46" s="81"/>
      <c r="B46" s="41" t="s">
        <v>120</v>
      </c>
      <c r="C46" s="41" t="s">
        <v>121</v>
      </c>
      <c r="D46" s="41" t="s">
        <v>31</v>
      </c>
      <c r="E46" s="45" t="s">
        <v>113</v>
      </c>
      <c r="F46" s="45" t="str">
        <f>_xlfn.XLOOKUP(TableFA21323[[#This Row],[Project]],Projects[Project],Projects[Full Name],"")</f>
        <v>Jernai Bennett</v>
      </c>
      <c r="G46" s="45" t="str">
        <f>_xlfn.XLOOKUP(TableFA21323[[#This Row],[Project]],Projects[Project],Projects[Work Email (no gmail/hotmail/etc.)],"")</f>
        <v>jbenn058@fiu.edu</v>
      </c>
      <c r="H46" s="45" t="str">
        <f>_xlfn.XLOOKUP(TableFA21323[[#This Row],[Project]],Projects[Project],Projects[Affiliation (Company/University/Place of Work)],"")</f>
        <v>Florida International University</v>
      </c>
      <c r="I46" s="44">
        <f>COUNTIFS(TableFA21323[Project],TableFA21323[[#This Row],[Project]],TableFA21323[Program],TableFA21323[[#This Row],[Program]])</f>
        <v>5</v>
      </c>
      <c r="J46" s="44">
        <f>COUNTIFS(TableFA21323[Project],TableFA21323[[#This Row],[Project]])</f>
        <v>5</v>
      </c>
      <c r="K46" s="45"/>
    </row>
    <row r="47" spans="1:11" s="41" customFormat="1" x14ac:dyDescent="0.2">
      <c r="A47" s="81"/>
      <c r="B47" s="43" t="s">
        <v>111</v>
      </c>
      <c r="C47" s="43" t="s">
        <v>112</v>
      </c>
      <c r="D47" s="43" t="s">
        <v>31</v>
      </c>
      <c r="E47" s="44" t="s">
        <v>113</v>
      </c>
      <c r="F47" s="45" t="str">
        <f>_xlfn.XLOOKUP(TableFA21323[[#This Row],[Project]],Projects[Project],Projects[Full Name],"")</f>
        <v>Jernai Bennett</v>
      </c>
      <c r="G47" s="45" t="str">
        <f>_xlfn.XLOOKUP(TableFA21323[[#This Row],[Project]],Projects[Project],Projects[Work Email (no gmail/hotmail/etc.)],"")</f>
        <v>jbenn058@fiu.edu</v>
      </c>
      <c r="H47" s="45" t="str">
        <f>_xlfn.XLOOKUP(TableFA21323[[#This Row],[Project]],Projects[Project],Projects[Affiliation (Company/University/Place of Work)],"")</f>
        <v>Florida International University</v>
      </c>
      <c r="I47" s="44">
        <f>COUNTIFS(TableFA21323[Project],TableFA21323[[#This Row],[Project]],TableFA21323[Program],TableFA21323[[#This Row],[Program]])</f>
        <v>5</v>
      </c>
      <c r="J47" s="44">
        <f>COUNTIFS(TableFA21323[Project],TableFA21323[[#This Row],[Project]])</f>
        <v>5</v>
      </c>
      <c r="K47" s="45"/>
    </row>
    <row r="48" spans="1:11" s="25" customFormat="1" ht="14" x14ac:dyDescent="0.2">
      <c r="A48" s="63"/>
      <c r="E48" s="59"/>
      <c r="F48" s="59"/>
      <c r="G48" s="59"/>
      <c r="H48" s="59"/>
      <c r="I48" s="59"/>
      <c r="J48" s="59"/>
      <c r="K48" s="59"/>
    </row>
    <row r="49" spans="1:11" s="41" customFormat="1" x14ac:dyDescent="0.2">
      <c r="A49" s="80">
        <v>9</v>
      </c>
      <c r="B49" s="41" t="s">
        <v>125</v>
      </c>
      <c r="C49" s="41" t="s">
        <v>126</v>
      </c>
      <c r="D49" s="41" t="s">
        <v>31</v>
      </c>
      <c r="E49" s="45" t="s">
        <v>124</v>
      </c>
      <c r="F49" s="45" t="str">
        <f>_xlfn.XLOOKUP(TableFA21323[[#This Row],[Project]],Projects[Project],Projects[Full Name],"")</f>
        <v>Jin Carballosa</v>
      </c>
      <c r="G49" s="45" t="str">
        <f>_xlfn.XLOOKUP(TableFA21323[[#This Row],[Project]],Projects[Project],Projects[Work Email (no gmail/hotmail/etc.)],"")</f>
        <v>jcarb079@fiu.edu</v>
      </c>
      <c r="H49" s="45" t="str">
        <f>_xlfn.XLOOKUP(TableFA21323[[#This Row],[Project]],Projects[Project],Projects[Affiliation (Company/University/Place of Work)],"")</f>
        <v>Florida International University</v>
      </c>
      <c r="I49" s="44">
        <f>COUNTIFS(TableFA21323[Project],TableFA21323[[#This Row],[Project]],TableFA21323[Program],TableFA21323[[#This Row],[Program]])</f>
        <v>5</v>
      </c>
      <c r="J49" s="44">
        <f>COUNTIFS(TableFA21323[Project],TableFA21323[[#This Row],[Project]])</f>
        <v>5</v>
      </c>
      <c r="K49" s="45"/>
    </row>
    <row r="50" spans="1:11" s="43" customFormat="1" x14ac:dyDescent="0.2">
      <c r="A50" s="80"/>
      <c r="B50" s="43" t="s">
        <v>122</v>
      </c>
      <c r="C50" s="43" t="s">
        <v>123</v>
      </c>
      <c r="D50" s="43" t="s">
        <v>31</v>
      </c>
      <c r="E50" s="44" t="s">
        <v>124</v>
      </c>
      <c r="F50" s="44" t="str">
        <f>_xlfn.XLOOKUP(TableFA21323[[#This Row],[Project]],Projects[Project],Projects[Full Name],"")</f>
        <v>Jin Carballosa</v>
      </c>
      <c r="G50" s="44" t="str">
        <f>_xlfn.XLOOKUP(TableFA21323[[#This Row],[Project]],Projects[Project],Projects[Work Email (no gmail/hotmail/etc.)],"")</f>
        <v>jcarb079@fiu.edu</v>
      </c>
      <c r="H50" s="44" t="str">
        <f>_xlfn.XLOOKUP(TableFA21323[[#This Row],[Project]],Projects[Project],Projects[Affiliation (Company/University/Place of Work)],"")</f>
        <v>Florida International University</v>
      </c>
      <c r="I50" s="44">
        <f>COUNTIFS(TableFA21323[Project],TableFA21323[[#This Row],[Project]],TableFA21323[Program],TableFA21323[[#This Row],[Program]])</f>
        <v>5</v>
      </c>
      <c r="J50" s="44">
        <f>COUNTIFS(TableFA21323[Project],TableFA21323[[#This Row],[Project]])</f>
        <v>5</v>
      </c>
      <c r="K50" s="45"/>
    </row>
    <row r="51" spans="1:11" s="41" customFormat="1" x14ac:dyDescent="0.2">
      <c r="A51" s="80"/>
      <c r="B51" s="41" t="s">
        <v>127</v>
      </c>
      <c r="C51" s="41" t="s">
        <v>128</v>
      </c>
      <c r="D51" s="41" t="s">
        <v>31</v>
      </c>
      <c r="E51" s="45" t="s">
        <v>124</v>
      </c>
      <c r="F51" s="45" t="str">
        <f>_xlfn.XLOOKUP(TableFA21323[[#This Row],[Project]],Projects[Project],Projects[Full Name],"")</f>
        <v>Jin Carballosa</v>
      </c>
      <c r="G51" s="45" t="str">
        <f>_xlfn.XLOOKUP(TableFA21323[[#This Row],[Project]],Projects[Project],Projects[Work Email (no gmail/hotmail/etc.)],"")</f>
        <v>jcarb079@fiu.edu</v>
      </c>
      <c r="H51" s="45" t="str">
        <f>_xlfn.XLOOKUP(TableFA21323[[#This Row],[Project]],Projects[Project],Projects[Affiliation (Company/University/Place of Work)],"")</f>
        <v>Florida International University</v>
      </c>
      <c r="I51" s="44">
        <f>COUNTIFS(TableFA21323[Project],TableFA21323[[#This Row],[Project]],TableFA21323[Program],TableFA21323[[#This Row],[Program]])</f>
        <v>5</v>
      </c>
      <c r="J51" s="44">
        <f>COUNTIFS(TableFA21323[Project],TableFA21323[[#This Row],[Project]])</f>
        <v>5</v>
      </c>
      <c r="K51" s="45"/>
    </row>
    <row r="52" spans="1:11" s="41" customFormat="1" x14ac:dyDescent="0.2">
      <c r="A52" s="80"/>
      <c r="B52" s="41" t="s">
        <v>129</v>
      </c>
      <c r="C52" s="41" t="s">
        <v>130</v>
      </c>
      <c r="D52" s="45" t="s">
        <v>31</v>
      </c>
      <c r="E52" s="45" t="s">
        <v>124</v>
      </c>
      <c r="F52" s="45" t="str">
        <f>_xlfn.XLOOKUP(TableFA21323[[#This Row],[Project]],Projects[Project],Projects[Full Name],"")</f>
        <v>Jin Carballosa</v>
      </c>
      <c r="G52" s="45" t="str">
        <f>_xlfn.XLOOKUP(TableFA21323[[#This Row],[Project]],Projects[Project],Projects[Work Email (no gmail/hotmail/etc.)],"")</f>
        <v>jcarb079@fiu.edu</v>
      </c>
      <c r="H52" s="45" t="str">
        <f>_xlfn.XLOOKUP(TableFA21323[[#This Row],[Project]],Projects[Project],Projects[Affiliation (Company/University/Place of Work)],"")</f>
        <v>Florida International University</v>
      </c>
      <c r="I52" s="44">
        <f>COUNTIFS(TableFA21323[Project],TableFA21323[[#This Row],[Project]],TableFA21323[Program],TableFA21323[[#This Row],[Program]])</f>
        <v>5</v>
      </c>
      <c r="J52" s="44">
        <f>COUNTIFS(TableFA21323[Project],TableFA21323[[#This Row],[Project]])</f>
        <v>5</v>
      </c>
      <c r="K52" s="45"/>
    </row>
    <row r="53" spans="1:11" s="48" customFormat="1" x14ac:dyDescent="0.2">
      <c r="A53" s="80"/>
      <c r="B53" s="41" t="s">
        <v>131</v>
      </c>
      <c r="C53" s="41" t="s">
        <v>132</v>
      </c>
      <c r="D53" s="45" t="s">
        <v>31</v>
      </c>
      <c r="E53" s="45" t="s">
        <v>124</v>
      </c>
      <c r="F53" s="45" t="str">
        <f>_xlfn.XLOOKUP(TableFA21323[[#This Row],[Project]],Projects[Project],Projects[Full Name],"")</f>
        <v>Jin Carballosa</v>
      </c>
      <c r="G53" s="45" t="str">
        <f>_xlfn.XLOOKUP(TableFA21323[[#This Row],[Project]],Projects[Project],Projects[Work Email (no gmail/hotmail/etc.)],"")</f>
        <v>jcarb079@fiu.edu</v>
      </c>
      <c r="H53" s="45" t="str">
        <f>_xlfn.XLOOKUP(TableFA21323[[#This Row],[Project]],Projects[Project],Projects[Affiliation (Company/University/Place of Work)],"")</f>
        <v>Florida International University</v>
      </c>
      <c r="I53" s="44">
        <f>COUNTIFS(TableFA21323[Project],TableFA21323[[#This Row],[Project]],TableFA21323[Program],TableFA21323[[#This Row],[Program]])</f>
        <v>5</v>
      </c>
      <c r="J53" s="44">
        <f>COUNTIFS(TableFA21323[Project],TableFA21323[[#This Row],[Project]])</f>
        <v>5</v>
      </c>
      <c r="K53" s="45"/>
    </row>
    <row r="54" spans="1:11" s="64" customFormat="1" ht="14" x14ac:dyDescent="0.2">
      <c r="A54" s="58"/>
      <c r="B54" s="25"/>
      <c r="C54" s="25"/>
      <c r="D54" s="59"/>
      <c r="E54" s="59"/>
      <c r="F54" s="59"/>
      <c r="G54" s="59"/>
      <c r="H54" s="59"/>
      <c r="I54" s="59"/>
      <c r="J54" s="59"/>
      <c r="K54" s="59"/>
    </row>
    <row r="55" spans="1:11" s="41" customFormat="1" x14ac:dyDescent="0.2">
      <c r="A55" s="80">
        <v>10</v>
      </c>
      <c r="B55" s="41" t="s">
        <v>133</v>
      </c>
      <c r="C55" s="41" t="s">
        <v>134</v>
      </c>
      <c r="D55" s="41" t="s">
        <v>31</v>
      </c>
      <c r="E55" s="45" t="s">
        <v>135</v>
      </c>
      <c r="F55" s="45" t="str">
        <f>_xlfn.XLOOKUP(TableFA21323[[#This Row],[Project]],Projects[Project],Projects[Full Name],"")</f>
        <v>Daniel Gonzalez</v>
      </c>
      <c r="G55" s="45" t="str">
        <f>_xlfn.XLOOKUP(TableFA21323[[#This Row],[Project]],Projects[Project],Projects[Work Email (no gmail/hotmail/etc.)],"")</f>
        <v>dgonz692@fiu.edu</v>
      </c>
      <c r="H55" s="45" t="str">
        <f>_xlfn.XLOOKUP(TableFA21323[[#This Row],[Project]],Projects[Project],Projects[Affiliation (Company/University/Place of Work)],"")</f>
        <v>Florida International University</v>
      </c>
      <c r="I55" s="44">
        <f>COUNTIFS(TableFA21323[Project],TableFA21323[[#This Row],[Project]],TableFA21323[Program],TableFA21323[[#This Row],[Program]])</f>
        <v>5</v>
      </c>
      <c r="J55" s="44">
        <f>COUNTIFS(TableFA21323[Project],TableFA21323[[#This Row],[Project]])</f>
        <v>5</v>
      </c>
      <c r="K55" s="45"/>
    </row>
    <row r="56" spans="1:11" s="41" customFormat="1" x14ac:dyDescent="0.2">
      <c r="A56" s="80"/>
      <c r="B56" s="41" t="s">
        <v>136</v>
      </c>
      <c r="C56" s="41" t="s">
        <v>137</v>
      </c>
      <c r="D56" s="41" t="s">
        <v>31</v>
      </c>
      <c r="E56" s="45" t="s">
        <v>135</v>
      </c>
      <c r="F56" s="45" t="str">
        <f>_xlfn.XLOOKUP(TableFA21323[[#This Row],[Project]],Projects[Project],Projects[Full Name],"")</f>
        <v>Daniel Gonzalez</v>
      </c>
      <c r="G56" s="45" t="str">
        <f>_xlfn.XLOOKUP(TableFA21323[[#This Row],[Project]],Projects[Project],Projects[Work Email (no gmail/hotmail/etc.)],"")</f>
        <v>dgonz692@fiu.edu</v>
      </c>
      <c r="H56" s="45" t="str">
        <f>_xlfn.XLOOKUP(TableFA21323[[#This Row],[Project]],Projects[Project],Projects[Affiliation (Company/University/Place of Work)],"")</f>
        <v>Florida International University</v>
      </c>
      <c r="I56" s="44">
        <f>COUNTIFS(TableFA21323[Project],TableFA21323[[#This Row],[Project]],TableFA21323[Program],TableFA21323[[#This Row],[Program]])</f>
        <v>5</v>
      </c>
      <c r="J56" s="44">
        <f>COUNTIFS(TableFA21323[Project],TableFA21323[[#This Row],[Project]])</f>
        <v>5</v>
      </c>
      <c r="K56" s="45"/>
    </row>
    <row r="57" spans="1:11" s="48" customFormat="1" x14ac:dyDescent="0.2">
      <c r="A57" s="80"/>
      <c r="B57" s="41" t="s">
        <v>138</v>
      </c>
      <c r="C57" s="41" t="s">
        <v>139</v>
      </c>
      <c r="D57" s="41" t="s">
        <v>31</v>
      </c>
      <c r="E57" s="45" t="s">
        <v>135</v>
      </c>
      <c r="F57" s="45" t="str">
        <f>_xlfn.XLOOKUP(TableFA21323[[#This Row],[Project]],Projects[Project],Projects[Full Name],"")</f>
        <v>Daniel Gonzalez</v>
      </c>
      <c r="G57" s="45" t="str">
        <f>_xlfn.XLOOKUP(TableFA21323[[#This Row],[Project]],Projects[Project],Projects[Work Email (no gmail/hotmail/etc.)],"")</f>
        <v>dgonz692@fiu.edu</v>
      </c>
      <c r="H57" s="45" t="str">
        <f>_xlfn.XLOOKUP(TableFA21323[[#This Row],[Project]],Projects[Project],Projects[Affiliation (Company/University/Place of Work)],"")</f>
        <v>Florida International University</v>
      </c>
      <c r="I57" s="44">
        <f>COUNTIFS(TableFA21323[Project],TableFA21323[[#This Row],[Project]],TableFA21323[Program],TableFA21323[[#This Row],[Program]])</f>
        <v>5</v>
      </c>
      <c r="J57" s="44">
        <f>COUNTIFS(TableFA21323[Project],TableFA21323[[#This Row],[Project]])</f>
        <v>5</v>
      </c>
      <c r="K57" s="45"/>
    </row>
    <row r="58" spans="1:11" s="48" customFormat="1" x14ac:dyDescent="0.2">
      <c r="A58" s="80"/>
      <c r="B58" s="41" t="s">
        <v>140</v>
      </c>
      <c r="C58" s="41" t="s">
        <v>141</v>
      </c>
      <c r="D58" s="41" t="s">
        <v>31</v>
      </c>
      <c r="E58" s="45" t="s">
        <v>135</v>
      </c>
      <c r="F58" s="45" t="str">
        <f>_xlfn.XLOOKUP(TableFA21323[[#This Row],[Project]],Projects[Project],Projects[Full Name],"")</f>
        <v>Daniel Gonzalez</v>
      </c>
      <c r="G58" s="45" t="str">
        <f>_xlfn.XLOOKUP(TableFA21323[[#This Row],[Project]],Projects[Project],Projects[Work Email (no gmail/hotmail/etc.)],"")</f>
        <v>dgonz692@fiu.edu</v>
      </c>
      <c r="H58" s="45" t="str">
        <f>_xlfn.XLOOKUP(TableFA21323[[#This Row],[Project]],Projects[Project],Projects[Affiliation (Company/University/Place of Work)],"")</f>
        <v>Florida International University</v>
      </c>
      <c r="I58" s="44">
        <f>COUNTIFS(TableFA21323[Project],TableFA21323[[#This Row],[Project]],TableFA21323[Program],TableFA21323[[#This Row],[Program]])</f>
        <v>5</v>
      </c>
      <c r="J58" s="44">
        <f>COUNTIFS(TableFA21323[Project],TableFA21323[[#This Row],[Project]])</f>
        <v>5</v>
      </c>
      <c r="K58" s="45"/>
    </row>
    <row r="59" spans="1:11" s="41" customFormat="1" x14ac:dyDescent="0.2">
      <c r="A59" s="80"/>
      <c r="B59" s="41" t="s">
        <v>142</v>
      </c>
      <c r="C59" s="41" t="s">
        <v>109</v>
      </c>
      <c r="D59" s="41" t="s">
        <v>31</v>
      </c>
      <c r="E59" s="45" t="s">
        <v>135</v>
      </c>
      <c r="F59" s="45" t="str">
        <f>_xlfn.XLOOKUP(TableFA21323[[#This Row],[Project]],Projects[Project],Projects[Full Name],"")</f>
        <v>Daniel Gonzalez</v>
      </c>
      <c r="G59" s="45" t="str">
        <f>_xlfn.XLOOKUP(TableFA21323[[#This Row],[Project]],Projects[Project],Projects[Work Email (no gmail/hotmail/etc.)],"")</f>
        <v>dgonz692@fiu.edu</v>
      </c>
      <c r="H59" s="45" t="str">
        <f>_xlfn.XLOOKUP(TableFA21323[[#This Row],[Project]],Projects[Project],Projects[Affiliation (Company/University/Place of Work)],"")</f>
        <v>Florida International University</v>
      </c>
      <c r="I59" s="44">
        <f>COUNTIFS(TableFA21323[Project],TableFA21323[[#This Row],[Project]],TableFA21323[Program],TableFA21323[[#This Row],[Program]])</f>
        <v>5</v>
      </c>
      <c r="J59" s="44">
        <f>COUNTIFS(TableFA21323[Project],TableFA21323[[#This Row],[Project]])</f>
        <v>5</v>
      </c>
      <c r="K59" s="45"/>
    </row>
    <row r="60" spans="1:11" s="25" customFormat="1" ht="14" x14ac:dyDescent="0.2">
      <c r="A60" s="58"/>
      <c r="E60" s="59"/>
      <c r="F60" s="59"/>
      <c r="G60" s="59"/>
      <c r="H60" s="59"/>
      <c r="I60" s="59"/>
      <c r="J60" s="59"/>
      <c r="K60" s="59"/>
    </row>
    <row r="61" spans="1:11" s="41" customFormat="1" x14ac:dyDescent="0.2">
      <c r="A61" s="80">
        <v>11</v>
      </c>
      <c r="B61" s="41" t="s">
        <v>146</v>
      </c>
      <c r="C61" s="41" t="s">
        <v>147</v>
      </c>
      <c r="D61" s="41" t="s">
        <v>31</v>
      </c>
      <c r="E61" s="45" t="s">
        <v>145</v>
      </c>
      <c r="F61" s="45" t="str">
        <f>_xlfn.XLOOKUP(TableFA21323[[#This Row],[Project]],Projects[Project],Projects[Full Name],"")</f>
        <v>Antonio Hernandez</v>
      </c>
      <c r="G61" s="45" t="str">
        <f>_xlfn.XLOOKUP(TableFA21323[[#This Row],[Project]],Projects[Project],Projects[Work Email (no gmail/hotmail/etc.)],"")</f>
        <v>antherna@fiu.edu</v>
      </c>
      <c r="H61" s="45" t="str">
        <f>_xlfn.XLOOKUP(TableFA21323[[#This Row],[Project]],Projects[Project],Projects[Affiliation (Company/University/Place of Work)],"")</f>
        <v>Florida International University</v>
      </c>
      <c r="I61" s="44">
        <f>COUNTIFS(TableFA21323[Project],TableFA21323[[#This Row],[Project]],TableFA21323[Program],TableFA21323[[#This Row],[Program]])</f>
        <v>6</v>
      </c>
      <c r="J61" s="44">
        <f>COUNTIFS(TableFA21323[Project],TableFA21323[[#This Row],[Project]])</f>
        <v>6</v>
      </c>
      <c r="K61" s="45"/>
    </row>
    <row r="62" spans="1:11" s="48" customFormat="1" x14ac:dyDescent="0.2">
      <c r="A62" s="80"/>
      <c r="B62" s="41" t="s">
        <v>148</v>
      </c>
      <c r="C62" s="41" t="s">
        <v>149</v>
      </c>
      <c r="D62" s="41" t="s">
        <v>31</v>
      </c>
      <c r="E62" s="45" t="s">
        <v>145</v>
      </c>
      <c r="F62" s="45" t="str">
        <f>_xlfn.XLOOKUP(TableFA21323[[#This Row],[Project]],Projects[Project],Projects[Full Name],"")</f>
        <v>Antonio Hernandez</v>
      </c>
      <c r="G62" s="45" t="str">
        <f>_xlfn.XLOOKUP(TableFA21323[[#This Row],[Project]],Projects[Project],Projects[Work Email (no gmail/hotmail/etc.)],"")</f>
        <v>antherna@fiu.edu</v>
      </c>
      <c r="H62" s="45" t="str">
        <f>_xlfn.XLOOKUP(TableFA21323[[#This Row],[Project]],Projects[Project],Projects[Affiliation (Company/University/Place of Work)],"")</f>
        <v>Florida International University</v>
      </c>
      <c r="I62" s="44">
        <f>COUNTIFS(TableFA21323[Project],TableFA21323[[#This Row],[Project]],TableFA21323[Program],TableFA21323[[#This Row],[Program]])</f>
        <v>6</v>
      </c>
      <c r="J62" s="44">
        <f>COUNTIFS(TableFA21323[Project],TableFA21323[[#This Row],[Project]])</f>
        <v>6</v>
      </c>
      <c r="K62" s="45"/>
    </row>
    <row r="63" spans="1:11" s="48" customFormat="1" x14ac:dyDescent="0.2">
      <c r="A63" s="80"/>
      <c r="B63" s="41" t="s">
        <v>150</v>
      </c>
      <c r="C63" s="41" t="s">
        <v>151</v>
      </c>
      <c r="D63" s="41" t="s">
        <v>31</v>
      </c>
      <c r="E63" s="45" t="s">
        <v>145</v>
      </c>
      <c r="F63" s="45" t="str">
        <f>_xlfn.XLOOKUP(TableFA21323[[#This Row],[Project]],Projects[Project],Projects[Full Name],"")</f>
        <v>Antonio Hernandez</v>
      </c>
      <c r="G63" s="45" t="str">
        <f>_xlfn.XLOOKUP(TableFA21323[[#This Row],[Project]],Projects[Project],Projects[Work Email (no gmail/hotmail/etc.)],"")</f>
        <v>antherna@fiu.edu</v>
      </c>
      <c r="H63" s="45" t="str">
        <f>_xlfn.XLOOKUP(TableFA21323[[#This Row],[Project]],Projects[Project],Projects[Affiliation (Company/University/Place of Work)],"")</f>
        <v>Florida International University</v>
      </c>
      <c r="I63" s="44">
        <f>COUNTIFS(TableFA21323[Project],TableFA21323[[#This Row],[Project]],TableFA21323[Program],TableFA21323[[#This Row],[Program]])</f>
        <v>6</v>
      </c>
      <c r="J63" s="44">
        <f>COUNTIFS(TableFA21323[Project],TableFA21323[[#This Row],[Project]])</f>
        <v>6</v>
      </c>
      <c r="K63" s="45"/>
    </row>
    <row r="64" spans="1:11" s="41" customFormat="1" x14ac:dyDescent="0.2">
      <c r="A64" s="80"/>
      <c r="B64" s="41" t="s">
        <v>152</v>
      </c>
      <c r="C64" s="41" t="s">
        <v>153</v>
      </c>
      <c r="D64" s="41" t="s">
        <v>31</v>
      </c>
      <c r="E64" s="45" t="s">
        <v>145</v>
      </c>
      <c r="F64" s="45" t="str">
        <f>_xlfn.XLOOKUP(TableFA21323[[#This Row],[Project]],Projects[Project],Projects[Full Name],"")</f>
        <v>Antonio Hernandez</v>
      </c>
      <c r="G64" s="45" t="str">
        <f>_xlfn.XLOOKUP(TableFA21323[[#This Row],[Project]],Projects[Project],Projects[Work Email (no gmail/hotmail/etc.)],"")</f>
        <v>antherna@fiu.edu</v>
      </c>
      <c r="H64" s="45" t="str">
        <f>_xlfn.XLOOKUP(TableFA21323[[#This Row],[Project]],Projects[Project],Projects[Affiliation (Company/University/Place of Work)],"")</f>
        <v>Florida International University</v>
      </c>
      <c r="I64" s="44">
        <f>COUNTIFS(TableFA21323[Project],TableFA21323[[#This Row],[Project]],TableFA21323[Program],TableFA21323[[#This Row],[Program]])</f>
        <v>6</v>
      </c>
      <c r="J64" s="44">
        <f>COUNTIFS(TableFA21323[Project],TableFA21323[[#This Row],[Project]])</f>
        <v>6</v>
      </c>
      <c r="K64" s="45"/>
    </row>
    <row r="65" spans="1:11" s="41" customFormat="1" x14ac:dyDescent="0.2">
      <c r="A65" s="80"/>
      <c r="B65" s="41" t="s">
        <v>154</v>
      </c>
      <c r="C65" s="41" t="s">
        <v>155</v>
      </c>
      <c r="D65" s="41" t="s">
        <v>31</v>
      </c>
      <c r="E65" s="45" t="s">
        <v>145</v>
      </c>
      <c r="F65" s="45" t="str">
        <f>_xlfn.XLOOKUP(TableFA21323[[#This Row],[Project]],Projects[Project],Projects[Full Name],"")</f>
        <v>Antonio Hernandez</v>
      </c>
      <c r="G65" s="45" t="str">
        <f>_xlfn.XLOOKUP(TableFA21323[[#This Row],[Project]],Projects[Project],Projects[Work Email (no gmail/hotmail/etc.)],"")</f>
        <v>antherna@fiu.edu</v>
      </c>
      <c r="H65" s="45" t="str">
        <f>_xlfn.XLOOKUP(TableFA21323[[#This Row],[Project]],Projects[Project],Projects[Affiliation (Company/University/Place of Work)],"")</f>
        <v>Florida International University</v>
      </c>
      <c r="I65" s="44">
        <f>COUNTIFS(TableFA21323[Project],TableFA21323[[#This Row],[Project]],TableFA21323[Program],TableFA21323[[#This Row],[Program]])</f>
        <v>6</v>
      </c>
      <c r="J65" s="44">
        <f>COUNTIFS(TableFA21323[Project],TableFA21323[[#This Row],[Project]])</f>
        <v>6</v>
      </c>
      <c r="K65" s="45"/>
    </row>
    <row r="66" spans="1:11" s="41" customFormat="1" x14ac:dyDescent="0.2">
      <c r="A66" s="80"/>
      <c r="B66" s="41" t="s">
        <v>143</v>
      </c>
      <c r="C66" s="41" t="s">
        <v>144</v>
      </c>
      <c r="D66" s="41" t="s">
        <v>31</v>
      </c>
      <c r="E66" s="45" t="s">
        <v>145</v>
      </c>
      <c r="F66" s="45" t="str">
        <f>_xlfn.XLOOKUP(TableFA21323[[#This Row],[Project]],Projects[Project],Projects[Full Name],"")</f>
        <v>Antonio Hernandez</v>
      </c>
      <c r="G66" s="45" t="str">
        <f>_xlfn.XLOOKUP(TableFA21323[[#This Row],[Project]],Projects[Project],Projects[Work Email (no gmail/hotmail/etc.)],"")</f>
        <v>antherna@fiu.edu</v>
      </c>
      <c r="H66" s="45" t="str">
        <f>_xlfn.XLOOKUP(TableFA21323[[#This Row],[Project]],Projects[Project],Projects[Affiliation (Company/University/Place of Work)],"")</f>
        <v>Florida International University</v>
      </c>
      <c r="I66" s="44">
        <f>COUNTIFS(TableFA21323[Project],TableFA21323[[#This Row],[Project]],TableFA21323[Program],TableFA21323[[#This Row],[Program]])</f>
        <v>6</v>
      </c>
      <c r="J66" s="44">
        <f>COUNTIFS(TableFA21323[Project],TableFA21323[[#This Row],[Project]])</f>
        <v>6</v>
      </c>
      <c r="K66" s="45"/>
    </row>
    <row r="67" spans="1:11" s="25" customFormat="1" ht="14" x14ac:dyDescent="0.2">
      <c r="A67" s="58"/>
      <c r="E67" s="59"/>
      <c r="F67" s="59"/>
      <c r="G67" s="59"/>
      <c r="H67" s="59"/>
      <c r="I67" s="59"/>
      <c r="J67" s="59"/>
      <c r="K67" s="59"/>
    </row>
    <row r="68" spans="1:11" s="41" customFormat="1" x14ac:dyDescent="0.2">
      <c r="A68" s="80">
        <v>12</v>
      </c>
      <c r="B68" s="41" t="s">
        <v>156</v>
      </c>
      <c r="C68" s="41" t="s">
        <v>157</v>
      </c>
      <c r="D68" s="41" t="s">
        <v>31</v>
      </c>
      <c r="E68" s="41" t="s">
        <v>158</v>
      </c>
      <c r="F68" s="45" t="str">
        <f>_xlfn.XLOOKUP(TableFA21323[[#This Row],[Project]],Projects[Project],Projects[Full Name],"")</f>
        <v>Chen Chen</v>
      </c>
      <c r="G68" s="45" t="str">
        <f>_xlfn.XLOOKUP(TableFA21323[[#This Row],[Project]],Projects[Project],Projects[Work Email (no gmail/hotmail/etc.)],"")</f>
        <v>chechen@fiu.edu</v>
      </c>
      <c r="H68" s="45" t="str">
        <f>_xlfn.XLOOKUP(TableFA21323[[#This Row],[Project]],Projects[Project],Projects[Affiliation (Company/University/Place of Work)],"")</f>
        <v>Knight Foundation School of Computing and Information Sciences</v>
      </c>
      <c r="I68" s="44">
        <f>COUNTIFS(TableFA21323[Project],TableFA21323[[#This Row],[Project]],TableFA21323[Program],TableFA21323[[#This Row],[Program]])</f>
        <v>5</v>
      </c>
      <c r="J68" s="44">
        <f>COUNTIFS(TableFA21323[Project],TableFA21323[[#This Row],[Project]])</f>
        <v>5</v>
      </c>
      <c r="K68" s="45"/>
    </row>
    <row r="69" spans="1:11" s="48" customFormat="1" x14ac:dyDescent="0.2">
      <c r="A69" s="80"/>
      <c r="B69" s="41" t="s">
        <v>159</v>
      </c>
      <c r="C69" s="41" t="s">
        <v>160</v>
      </c>
      <c r="D69" s="41" t="s">
        <v>31</v>
      </c>
      <c r="E69" s="45" t="s">
        <v>158</v>
      </c>
      <c r="F69" s="45" t="str">
        <f>_xlfn.XLOOKUP(TableFA21323[[#This Row],[Project]],Projects[Project],Projects[Full Name],"")</f>
        <v>Chen Chen</v>
      </c>
      <c r="G69" s="45" t="str">
        <f>_xlfn.XLOOKUP(TableFA21323[[#This Row],[Project]],Projects[Project],Projects[Work Email (no gmail/hotmail/etc.)],"")</f>
        <v>chechen@fiu.edu</v>
      </c>
      <c r="H69" s="45" t="str">
        <f>_xlfn.XLOOKUP(TableFA21323[[#This Row],[Project]],Projects[Project],Projects[Affiliation (Company/University/Place of Work)],"")</f>
        <v>Knight Foundation School of Computing and Information Sciences</v>
      </c>
      <c r="I69" s="44">
        <f>COUNTIFS(TableFA21323[Project],TableFA21323[[#This Row],[Project]],TableFA21323[Program],TableFA21323[[#This Row],[Program]])</f>
        <v>5</v>
      </c>
      <c r="J69" s="44">
        <f>COUNTIFS(TableFA21323[Project],TableFA21323[[#This Row],[Project]])</f>
        <v>5</v>
      </c>
      <c r="K69" s="45"/>
    </row>
    <row r="70" spans="1:11" s="41" customFormat="1" x14ac:dyDescent="0.2">
      <c r="A70" s="80"/>
      <c r="B70" s="41" t="s">
        <v>161</v>
      </c>
      <c r="C70" s="41" t="s">
        <v>162</v>
      </c>
      <c r="D70" s="41" t="s">
        <v>31</v>
      </c>
      <c r="E70" s="45" t="s">
        <v>158</v>
      </c>
      <c r="F70" s="45" t="str">
        <f>_xlfn.XLOOKUP(TableFA21323[[#This Row],[Project]],Projects[Project],Projects[Full Name],"")</f>
        <v>Chen Chen</v>
      </c>
      <c r="G70" s="45" t="str">
        <f>_xlfn.XLOOKUP(TableFA21323[[#This Row],[Project]],Projects[Project],Projects[Work Email (no gmail/hotmail/etc.)],"")</f>
        <v>chechen@fiu.edu</v>
      </c>
      <c r="H70" s="45" t="str">
        <f>_xlfn.XLOOKUP(TableFA21323[[#This Row],[Project]],Projects[Project],Projects[Affiliation (Company/University/Place of Work)],"")</f>
        <v>Knight Foundation School of Computing and Information Sciences</v>
      </c>
      <c r="I70" s="44">
        <f>COUNTIFS(TableFA21323[Project],TableFA21323[[#This Row],[Project]],TableFA21323[Program],TableFA21323[[#This Row],[Program]])</f>
        <v>5</v>
      </c>
      <c r="J70" s="44">
        <f>COUNTIFS(TableFA21323[Project],TableFA21323[[#This Row],[Project]])</f>
        <v>5</v>
      </c>
      <c r="K70" s="45"/>
    </row>
    <row r="71" spans="1:11" s="48" customFormat="1" x14ac:dyDescent="0.2">
      <c r="A71" s="80"/>
      <c r="B71" s="41" t="s">
        <v>165</v>
      </c>
      <c r="C71" s="41" t="s">
        <v>166</v>
      </c>
      <c r="D71" s="41" t="s">
        <v>31</v>
      </c>
      <c r="E71" s="45" t="s">
        <v>158</v>
      </c>
      <c r="F71" s="45" t="str">
        <f>_xlfn.XLOOKUP(TableFA21323[[#This Row],[Project]],Projects[Project],Projects[Full Name],"")</f>
        <v>Chen Chen</v>
      </c>
      <c r="G71" s="45" t="str">
        <f>_xlfn.XLOOKUP(TableFA21323[[#This Row],[Project]],Projects[Project],Projects[Work Email (no gmail/hotmail/etc.)],"")</f>
        <v>chechen@fiu.edu</v>
      </c>
      <c r="H71" s="45" t="str">
        <f>_xlfn.XLOOKUP(TableFA21323[[#This Row],[Project]],Projects[Project],Projects[Affiliation (Company/University/Place of Work)],"")</f>
        <v>Knight Foundation School of Computing and Information Sciences</v>
      </c>
      <c r="I71" s="44">
        <f>COUNTIFS(TableFA21323[Project],TableFA21323[[#This Row],[Project]],TableFA21323[Program],TableFA21323[[#This Row],[Program]])</f>
        <v>5</v>
      </c>
      <c r="J71" s="44">
        <f>COUNTIFS(TableFA21323[Project],TableFA21323[[#This Row],[Project]])</f>
        <v>5</v>
      </c>
      <c r="K71" s="45"/>
    </row>
    <row r="72" spans="1:11" s="41" customFormat="1" x14ac:dyDescent="0.2">
      <c r="A72" s="80"/>
      <c r="B72" s="41" t="s">
        <v>167</v>
      </c>
      <c r="C72" s="41" t="s">
        <v>168</v>
      </c>
      <c r="D72" s="41" t="s">
        <v>31</v>
      </c>
      <c r="E72" s="41" t="s">
        <v>158</v>
      </c>
      <c r="F72" s="45" t="str">
        <f>_xlfn.XLOOKUP(TableFA21323[[#This Row],[Project]],Projects[Project],Projects[Full Name],"")</f>
        <v>Chen Chen</v>
      </c>
      <c r="G72" s="45" t="str">
        <f>_xlfn.XLOOKUP(TableFA21323[[#This Row],[Project]],Projects[Project],Projects[Work Email (no gmail/hotmail/etc.)],"")</f>
        <v>chechen@fiu.edu</v>
      </c>
      <c r="H72" s="45" t="str">
        <f>_xlfn.XLOOKUP(TableFA21323[[#This Row],[Project]],Projects[Project],Projects[Affiliation (Company/University/Place of Work)],"")</f>
        <v>Knight Foundation School of Computing and Information Sciences</v>
      </c>
      <c r="I72" s="44">
        <f>COUNTIFS(TableFA21323[Project],TableFA21323[[#This Row],[Project]],TableFA21323[Program],TableFA21323[[#This Row],[Program]])</f>
        <v>5</v>
      </c>
      <c r="J72" s="44">
        <f>COUNTIFS(TableFA21323[Project],TableFA21323[[#This Row],[Project]])</f>
        <v>5</v>
      </c>
      <c r="K72" s="45"/>
    </row>
    <row r="73" spans="1:11" s="25" customFormat="1" ht="14" x14ac:dyDescent="0.2">
      <c r="A73" s="58"/>
      <c r="F73" s="59"/>
      <c r="G73" s="59"/>
      <c r="H73" s="59"/>
      <c r="I73" s="59"/>
      <c r="J73" s="59"/>
      <c r="K73" s="59"/>
    </row>
    <row r="74" spans="1:11" s="41" customFormat="1" x14ac:dyDescent="0.2">
      <c r="A74" s="80">
        <v>13</v>
      </c>
      <c r="B74" s="43" t="s">
        <v>169</v>
      </c>
      <c r="C74" s="43" t="s">
        <v>170</v>
      </c>
      <c r="D74" s="43" t="s">
        <v>31</v>
      </c>
      <c r="E74" s="44" t="s">
        <v>171</v>
      </c>
      <c r="F74" s="45" t="str">
        <f>_xlfn.XLOOKUP(TableFA21323[[#This Row],[Project]],Projects[Project],Projects[Full Name],"")</f>
        <v>Ravi Venugopal</v>
      </c>
      <c r="G74" s="45" t="str">
        <f>_xlfn.XLOOKUP(TableFA21323[[#This Row],[Project]],Projects[Project],Projects[Work Email (no gmail/hotmail/etc.)],"")</f>
        <v>ravi@giggso.com</v>
      </c>
      <c r="H74" s="45" t="str">
        <f>_xlfn.XLOOKUP(TableFA21323[[#This Row],[Project]],Projects[Project],Projects[Affiliation (Company/University/Place of Work)],"")</f>
        <v>Giggso</v>
      </c>
      <c r="I74" s="44">
        <f>COUNTIFS(TableFA21323[Project],TableFA21323[[#This Row],[Project]],TableFA21323[Program],TableFA21323[[#This Row],[Program]])</f>
        <v>4</v>
      </c>
      <c r="J74" s="44">
        <f>COUNTIFS(TableFA21323[Project],TableFA21323[[#This Row],[Project]])</f>
        <v>4</v>
      </c>
      <c r="K74" s="45"/>
    </row>
    <row r="75" spans="1:11" s="41" customFormat="1" x14ac:dyDescent="0.2">
      <c r="A75" s="80"/>
      <c r="B75" s="41" t="s">
        <v>172</v>
      </c>
      <c r="C75" s="41" t="s">
        <v>173</v>
      </c>
      <c r="D75" s="41" t="s">
        <v>31</v>
      </c>
      <c r="E75" s="45" t="s">
        <v>171</v>
      </c>
      <c r="F75" s="45" t="str">
        <f>_xlfn.XLOOKUP(TableFA21323[[#This Row],[Project]],Projects[Project],Projects[Full Name],"")</f>
        <v>Ravi Venugopal</v>
      </c>
      <c r="G75" s="45" t="str">
        <f>_xlfn.XLOOKUP(TableFA21323[[#This Row],[Project]],Projects[Project],Projects[Work Email (no gmail/hotmail/etc.)],"")</f>
        <v>ravi@giggso.com</v>
      </c>
      <c r="H75" s="45" t="str">
        <f>_xlfn.XLOOKUP(TableFA21323[[#This Row],[Project]],Projects[Project],Projects[Affiliation (Company/University/Place of Work)],"")</f>
        <v>Giggso</v>
      </c>
      <c r="I75" s="44">
        <f>COUNTIFS(TableFA21323[Project],TableFA21323[[#This Row],[Project]],TableFA21323[Program],TableFA21323[[#This Row],[Program]])</f>
        <v>4</v>
      </c>
      <c r="J75" s="44">
        <f>COUNTIFS(TableFA21323[Project],TableFA21323[[#This Row],[Project]])</f>
        <v>4</v>
      </c>
      <c r="K75" s="45"/>
    </row>
    <row r="76" spans="1:11" s="41" customFormat="1" x14ac:dyDescent="0.2">
      <c r="A76" s="80"/>
      <c r="B76" s="41" t="s">
        <v>174</v>
      </c>
      <c r="C76" s="41" t="s">
        <v>175</v>
      </c>
      <c r="D76" s="45" t="s">
        <v>31</v>
      </c>
      <c r="E76" s="53" t="s">
        <v>171</v>
      </c>
      <c r="F76" s="45" t="str">
        <f>_xlfn.XLOOKUP(TableFA21323[[#This Row],[Project]],Projects[Project],Projects[Full Name],"")</f>
        <v>Ravi Venugopal</v>
      </c>
      <c r="G76" s="45" t="str">
        <f>_xlfn.XLOOKUP(TableFA21323[[#This Row],[Project]],Projects[Project],Projects[Work Email (no gmail/hotmail/etc.)],"")</f>
        <v>ravi@giggso.com</v>
      </c>
      <c r="H76" s="45" t="str">
        <f>_xlfn.XLOOKUP(TableFA21323[[#This Row],[Project]],Projects[Project],Projects[Affiliation (Company/University/Place of Work)],"")</f>
        <v>Giggso</v>
      </c>
      <c r="I76" s="45">
        <f>COUNTIFS(TableFA21323[Project],TableFA21323[[#This Row],[Project]],TableFA21323[Program],TableFA21323[[#This Row],[Program]])</f>
        <v>4</v>
      </c>
      <c r="J76" s="45">
        <f>COUNTIFS(TableFA21323[Project],TableFA21323[[#This Row],[Project]])</f>
        <v>4</v>
      </c>
      <c r="K76" s="45"/>
    </row>
    <row r="77" spans="1:11" s="41" customFormat="1" x14ac:dyDescent="0.2">
      <c r="A77" s="80"/>
      <c r="B77" s="41" t="s">
        <v>176</v>
      </c>
      <c r="C77" s="41" t="s">
        <v>177</v>
      </c>
      <c r="D77" s="41" t="s">
        <v>31</v>
      </c>
      <c r="E77" s="45" t="s">
        <v>171</v>
      </c>
      <c r="F77" s="45" t="str">
        <f>_xlfn.XLOOKUP(TableFA21323[[#This Row],[Project]],Projects[Project],Projects[Full Name],"")</f>
        <v>Ravi Venugopal</v>
      </c>
      <c r="G77" s="45" t="str">
        <f>_xlfn.XLOOKUP(TableFA21323[[#This Row],[Project]],Projects[Project],Projects[Work Email (no gmail/hotmail/etc.)],"")</f>
        <v>ravi@giggso.com</v>
      </c>
      <c r="H77" s="45" t="str">
        <f>_xlfn.XLOOKUP(TableFA21323[[#This Row],[Project]],Projects[Project],Projects[Affiliation (Company/University/Place of Work)],"")</f>
        <v>Giggso</v>
      </c>
      <c r="I77" s="44">
        <f>COUNTIFS(TableFA21323[Project],TableFA21323[[#This Row],[Project]],TableFA21323[Program],TableFA21323[[#This Row],[Program]])</f>
        <v>4</v>
      </c>
      <c r="J77" s="44">
        <f>COUNTIFS(TableFA21323[Project],TableFA21323[[#This Row],[Project]])</f>
        <v>4</v>
      </c>
      <c r="K77" s="45"/>
    </row>
    <row r="78" spans="1:11" s="25" customFormat="1" ht="14" x14ac:dyDescent="0.2">
      <c r="A78" s="58"/>
      <c r="E78" s="59"/>
      <c r="F78" s="59"/>
      <c r="G78" s="59"/>
      <c r="H78" s="59"/>
      <c r="I78" s="59"/>
      <c r="J78" s="59"/>
      <c r="K78" s="59"/>
    </row>
    <row r="79" spans="1:11" s="48" customFormat="1" x14ac:dyDescent="0.2">
      <c r="A79" s="81">
        <v>14</v>
      </c>
      <c r="B79" s="41" t="s">
        <v>181</v>
      </c>
      <c r="C79" s="41" t="s">
        <v>182</v>
      </c>
      <c r="D79" s="41" t="s">
        <v>31</v>
      </c>
      <c r="E79" s="45" t="s">
        <v>180</v>
      </c>
      <c r="F79" s="45" t="str">
        <f>_xlfn.XLOOKUP(TableFA21323[[#This Row],[Project]],Projects[Project],Projects[Full Name],"")</f>
        <v>Kiesha Moodie</v>
      </c>
      <c r="G79" s="45" t="str">
        <f>_xlfn.XLOOKUP(TableFA21323[[#This Row],[Project]],Projects[Project],Projects[Work Email (no gmail/hotmail/etc.)],"")</f>
        <v>kmoodie@fiu.edu</v>
      </c>
      <c r="H79" s="45" t="str">
        <f>_xlfn.XLOOKUP(TableFA21323[[#This Row],[Project]],Projects[Project],Projects[Affiliation (Company/University/Place of Work)],"")</f>
        <v>ORED - StartUP FIU + CASE PhD Student T&amp;L STEM</v>
      </c>
      <c r="I79" s="44">
        <f>COUNTIFS(TableFA21323[Project],TableFA21323[[#This Row],[Project]],TableFA21323[Program],TableFA21323[[#This Row],[Program]])</f>
        <v>4</v>
      </c>
      <c r="J79" s="44">
        <f>COUNTIFS(TableFA21323[Project],TableFA21323[[#This Row],[Project]])</f>
        <v>4</v>
      </c>
      <c r="K79" s="45"/>
    </row>
    <row r="80" spans="1:11" s="41" customFormat="1" x14ac:dyDescent="0.2">
      <c r="A80" s="81"/>
      <c r="B80" s="43" t="s">
        <v>178</v>
      </c>
      <c r="C80" s="43" t="s">
        <v>179</v>
      </c>
      <c r="D80" s="43" t="s">
        <v>31</v>
      </c>
      <c r="E80" s="44" t="s">
        <v>180</v>
      </c>
      <c r="F80" s="45" t="str">
        <f>_xlfn.XLOOKUP(TableFA21323[[#This Row],[Project]],Projects[Project],Projects[Full Name],"")</f>
        <v>Kiesha Moodie</v>
      </c>
      <c r="G80" s="45" t="str">
        <f>_xlfn.XLOOKUP(TableFA21323[[#This Row],[Project]],Projects[Project],Projects[Work Email (no gmail/hotmail/etc.)],"")</f>
        <v>kmoodie@fiu.edu</v>
      </c>
      <c r="H80" s="45" t="str">
        <f>_xlfn.XLOOKUP(TableFA21323[[#This Row],[Project]],Projects[Project],Projects[Affiliation (Company/University/Place of Work)],"")</f>
        <v>ORED - StartUP FIU + CASE PhD Student T&amp;L STEM</v>
      </c>
      <c r="I80" s="44">
        <f>COUNTIFS(TableFA21323[Project],TableFA21323[[#This Row],[Project]],TableFA21323[Program],TableFA21323[[#This Row],[Program]])</f>
        <v>4</v>
      </c>
      <c r="J80" s="44">
        <f>COUNTIFS(TableFA21323[Project],TableFA21323[[#This Row],[Project]])</f>
        <v>4</v>
      </c>
      <c r="K80" s="45"/>
    </row>
    <row r="81" spans="1:11" s="41" customFormat="1" x14ac:dyDescent="0.2">
      <c r="A81" s="81"/>
      <c r="B81" s="41" t="s">
        <v>183</v>
      </c>
      <c r="C81" s="41" t="s">
        <v>184</v>
      </c>
      <c r="D81" s="41" t="s">
        <v>31</v>
      </c>
      <c r="E81" s="45" t="s">
        <v>180</v>
      </c>
      <c r="F81" s="45" t="str">
        <f>_xlfn.XLOOKUP(TableFA21323[[#This Row],[Project]],Projects[Project],Projects[Full Name],"")</f>
        <v>Kiesha Moodie</v>
      </c>
      <c r="G81" s="45" t="str">
        <f>_xlfn.XLOOKUP(TableFA21323[[#This Row],[Project]],Projects[Project],Projects[Work Email (no gmail/hotmail/etc.)],"")</f>
        <v>kmoodie@fiu.edu</v>
      </c>
      <c r="H81" s="45" t="str">
        <f>_xlfn.XLOOKUP(TableFA21323[[#This Row],[Project]],Projects[Project],Projects[Affiliation (Company/University/Place of Work)],"")</f>
        <v>ORED - StartUP FIU + CASE PhD Student T&amp;L STEM</v>
      </c>
      <c r="I81" s="44">
        <f>COUNTIFS(TableFA21323[Project],TableFA21323[[#This Row],[Project]],TableFA21323[Program],TableFA21323[[#This Row],[Program]])</f>
        <v>4</v>
      </c>
      <c r="J81" s="44">
        <f>COUNTIFS(TableFA21323[Project],TableFA21323[[#This Row],[Project]])</f>
        <v>4</v>
      </c>
      <c r="K81" s="45"/>
    </row>
    <row r="82" spans="1:11" s="41" customFormat="1" x14ac:dyDescent="0.2">
      <c r="A82" s="81"/>
      <c r="B82" s="41" t="s">
        <v>185</v>
      </c>
      <c r="C82" s="41" t="s">
        <v>186</v>
      </c>
      <c r="D82" s="41" t="s">
        <v>31</v>
      </c>
      <c r="E82" s="45" t="s">
        <v>180</v>
      </c>
      <c r="F82" s="45" t="str">
        <f>_xlfn.XLOOKUP(TableFA21323[[#This Row],[Project]],Projects[Project],Projects[Full Name],"")</f>
        <v>Kiesha Moodie</v>
      </c>
      <c r="G82" s="45" t="str">
        <f>_xlfn.XLOOKUP(TableFA21323[[#This Row],[Project]],Projects[Project],Projects[Work Email (no gmail/hotmail/etc.)],"")</f>
        <v>kmoodie@fiu.edu</v>
      </c>
      <c r="H82" s="45" t="str">
        <f>_xlfn.XLOOKUP(TableFA21323[[#This Row],[Project]],Projects[Project],Projects[Affiliation (Company/University/Place of Work)],"")</f>
        <v>ORED - StartUP FIU + CASE PhD Student T&amp;L STEM</v>
      </c>
      <c r="I82" s="44">
        <f>COUNTIFS(TableFA21323[Project],TableFA21323[[#This Row],[Project]],TableFA21323[Program],TableFA21323[[#This Row],[Program]])</f>
        <v>4</v>
      </c>
      <c r="J82" s="44">
        <f>COUNTIFS(TableFA21323[Project],TableFA21323[[#This Row],[Project]])</f>
        <v>4</v>
      </c>
      <c r="K82" s="45"/>
    </row>
    <row r="83" spans="1:11" x14ac:dyDescent="0.2">
      <c r="A83" s="65"/>
      <c r="E83" s="1"/>
      <c r="F83" s="1"/>
      <c r="G83" s="1"/>
      <c r="H83" s="1"/>
      <c r="I83" s="1"/>
      <c r="J83" s="1"/>
      <c r="K83" s="1"/>
    </row>
    <row r="84" spans="1:11" s="41" customFormat="1" x14ac:dyDescent="0.2">
      <c r="A84" s="82">
        <v>15</v>
      </c>
      <c r="B84" s="41" t="s">
        <v>190</v>
      </c>
      <c r="C84" s="41" t="s">
        <v>191</v>
      </c>
      <c r="D84" s="41" t="s">
        <v>31</v>
      </c>
      <c r="E84" s="45" t="s">
        <v>189</v>
      </c>
      <c r="F84" s="45" t="str">
        <f>_xlfn.XLOOKUP(TableFA21323[[#This Row],[Project]],Projects[Project],Projects[Full Name],"")</f>
        <v xml:space="preserve">Bryan Alexander Fernandez </v>
      </c>
      <c r="G84" s="45" t="str">
        <f>_xlfn.XLOOKUP(TableFA21323[[#This Row],[Project]],Projects[Project],Projects[Work Email (no gmail/hotmail/etc.)],"")</f>
        <v>bfern152@fiu.edu</v>
      </c>
      <c r="H84" s="45" t="str">
        <f>_xlfn.XLOOKUP(TableFA21323[[#This Row],[Project]],Projects[Project],Projects[Affiliation (Company/University/Place of Work)],"")</f>
        <v>Florida International University</v>
      </c>
      <c r="I84" s="44">
        <f>COUNTIFS(TableFA21323[Project],TableFA21323[[#This Row],[Project]],TableFA21323[Program],TableFA21323[[#This Row],[Program]])</f>
        <v>5</v>
      </c>
      <c r="J84" s="44">
        <f>COUNTIFS(TableFA21323[Project],TableFA21323[[#This Row],[Project]])</f>
        <v>5</v>
      </c>
      <c r="K84" s="45"/>
    </row>
    <row r="85" spans="1:11" s="41" customFormat="1" x14ac:dyDescent="0.2">
      <c r="A85" s="82"/>
      <c r="B85" s="43" t="s">
        <v>187</v>
      </c>
      <c r="C85" s="43" t="s">
        <v>188</v>
      </c>
      <c r="D85" s="43" t="s">
        <v>31</v>
      </c>
      <c r="E85" s="44" t="s">
        <v>189</v>
      </c>
      <c r="F85" s="45" t="str">
        <f>_xlfn.XLOOKUP(TableFA21323[[#This Row],[Project]],Projects[Project],Projects[Full Name],"")</f>
        <v xml:space="preserve">Bryan Alexander Fernandez </v>
      </c>
      <c r="G85" s="45" t="str">
        <f>_xlfn.XLOOKUP(TableFA21323[[#This Row],[Project]],Projects[Project],Projects[Work Email (no gmail/hotmail/etc.)],"")</f>
        <v>bfern152@fiu.edu</v>
      </c>
      <c r="H85" s="45" t="str">
        <f>_xlfn.XLOOKUP(TableFA21323[[#This Row],[Project]],Projects[Project],Projects[Affiliation (Company/University/Place of Work)],"")</f>
        <v>Florida International University</v>
      </c>
      <c r="I85" s="44">
        <f>COUNTIFS(TableFA21323[Project],TableFA21323[[#This Row],[Project]],TableFA21323[Program],TableFA21323[[#This Row],[Program]])</f>
        <v>5</v>
      </c>
      <c r="J85" s="44">
        <f>COUNTIFS(TableFA21323[Project],TableFA21323[[#This Row],[Project]])</f>
        <v>5</v>
      </c>
      <c r="K85" s="45" t="s">
        <v>868</v>
      </c>
    </row>
    <row r="86" spans="1:11" s="41" customFormat="1" x14ac:dyDescent="0.2">
      <c r="A86" s="82"/>
      <c r="B86" s="41" t="s">
        <v>192</v>
      </c>
      <c r="C86" s="41" t="s">
        <v>193</v>
      </c>
      <c r="D86" s="41" t="s">
        <v>31</v>
      </c>
      <c r="E86" s="45" t="s">
        <v>189</v>
      </c>
      <c r="F86" s="45" t="str">
        <f>_xlfn.XLOOKUP(TableFA21323[[#This Row],[Project]],Projects[Project],Projects[Full Name],"")</f>
        <v xml:space="preserve">Bryan Alexander Fernandez </v>
      </c>
      <c r="G86" s="45" t="str">
        <f>_xlfn.XLOOKUP(TableFA21323[[#This Row],[Project]],Projects[Project],Projects[Work Email (no gmail/hotmail/etc.)],"")</f>
        <v>bfern152@fiu.edu</v>
      </c>
      <c r="H86" s="45" t="str">
        <f>_xlfn.XLOOKUP(TableFA21323[[#This Row],[Project]],Projects[Project],Projects[Affiliation (Company/University/Place of Work)],"")</f>
        <v>Florida International University</v>
      </c>
      <c r="I86" s="44">
        <f>COUNTIFS(TableFA21323[Project],TableFA21323[[#This Row],[Project]],TableFA21323[Program],TableFA21323[[#This Row],[Program]])</f>
        <v>5</v>
      </c>
      <c r="J86" s="44">
        <f>COUNTIFS(TableFA21323[Project],TableFA21323[[#This Row],[Project]])</f>
        <v>5</v>
      </c>
      <c r="K86" s="45"/>
    </row>
    <row r="87" spans="1:11" s="41" customFormat="1" x14ac:dyDescent="0.2">
      <c r="A87" s="82"/>
      <c r="B87" s="41" t="s">
        <v>194</v>
      </c>
      <c r="C87" s="41" t="s">
        <v>195</v>
      </c>
      <c r="D87" s="41" t="s">
        <v>31</v>
      </c>
      <c r="E87" s="45" t="s">
        <v>189</v>
      </c>
      <c r="F87" s="45" t="str">
        <f>_xlfn.XLOOKUP(TableFA21323[[#This Row],[Project]],Projects[Project],Projects[Full Name],"")</f>
        <v xml:space="preserve">Bryan Alexander Fernandez </v>
      </c>
      <c r="G87" s="45" t="str">
        <f>_xlfn.XLOOKUP(TableFA21323[[#This Row],[Project]],Projects[Project],Projects[Work Email (no gmail/hotmail/etc.)],"")</f>
        <v>bfern152@fiu.edu</v>
      </c>
      <c r="H87" s="45" t="str">
        <f>_xlfn.XLOOKUP(TableFA21323[[#This Row],[Project]],Projects[Project],Projects[Affiliation (Company/University/Place of Work)],"")</f>
        <v>Florida International University</v>
      </c>
      <c r="I87" s="44">
        <f>COUNTIFS(TableFA21323[Project],TableFA21323[[#This Row],[Project]],TableFA21323[Program],TableFA21323[[#This Row],[Program]])</f>
        <v>5</v>
      </c>
      <c r="J87" s="44">
        <f>COUNTIFS(TableFA21323[Project],TableFA21323[[#This Row],[Project]])</f>
        <v>5</v>
      </c>
      <c r="K87" s="45"/>
    </row>
    <row r="88" spans="1:11" s="41" customFormat="1" x14ac:dyDescent="0.2">
      <c r="A88" s="82"/>
      <c r="B88" s="41" t="s">
        <v>196</v>
      </c>
      <c r="C88" s="41" t="s">
        <v>197</v>
      </c>
      <c r="D88" s="41" t="s">
        <v>31</v>
      </c>
      <c r="E88" s="45" t="s">
        <v>189</v>
      </c>
      <c r="F88" s="45" t="str">
        <f>_xlfn.XLOOKUP(TableFA21323[[#This Row],[Project]],Projects[Project],Projects[Full Name],"")</f>
        <v xml:space="preserve">Bryan Alexander Fernandez </v>
      </c>
      <c r="G88" s="45" t="str">
        <f>_xlfn.XLOOKUP(TableFA21323[[#This Row],[Project]],Projects[Project],Projects[Work Email (no gmail/hotmail/etc.)],"")</f>
        <v>bfern152@fiu.edu</v>
      </c>
      <c r="H88" s="45" t="str">
        <f>_xlfn.XLOOKUP(TableFA21323[[#This Row],[Project]],Projects[Project],Projects[Affiliation (Company/University/Place of Work)],"")</f>
        <v>Florida International University</v>
      </c>
      <c r="I88" s="44">
        <f>COUNTIFS(TableFA21323[Project],TableFA21323[[#This Row],[Project]],TableFA21323[Program],TableFA21323[[#This Row],[Program]])</f>
        <v>5</v>
      </c>
      <c r="J88" s="44">
        <f>COUNTIFS(TableFA21323[Project],TableFA21323[[#This Row],[Project]])</f>
        <v>5</v>
      </c>
      <c r="K88" s="45"/>
    </row>
    <row r="89" spans="1:11" x14ac:dyDescent="0.2">
      <c r="E89" s="1"/>
      <c r="F89" s="1"/>
      <c r="G89" s="1"/>
      <c r="H89" s="1"/>
      <c r="I89" s="1"/>
      <c r="J89" s="1"/>
      <c r="K89" s="1"/>
    </row>
    <row r="90" spans="1:11" s="41" customFormat="1" x14ac:dyDescent="0.2">
      <c r="A90" s="80">
        <v>16</v>
      </c>
      <c r="B90" s="43" t="s">
        <v>198</v>
      </c>
      <c r="C90" s="43" t="s">
        <v>199</v>
      </c>
      <c r="D90" s="43" t="s">
        <v>31</v>
      </c>
      <c r="E90" s="44" t="s">
        <v>200</v>
      </c>
      <c r="F90" s="45" t="str">
        <f>_xlfn.XLOOKUP(TableFA21323[[#This Row],[Project]],Projects[Project],Projects[Full Name],"")</f>
        <v>Giorgio Abboud</v>
      </c>
      <c r="G90" s="45" t="str">
        <f>_xlfn.XLOOKUP(TableFA21323[[#This Row],[Project]],Projects[Project],Projects[Work Email (no gmail/hotmail/etc.)],"")</f>
        <v>gabbo008@fiu.edu</v>
      </c>
      <c r="H90" s="45" t="str">
        <f>_xlfn.XLOOKUP(TableFA21323[[#This Row],[Project]],Projects[Project],Projects[Affiliation (Company/University/Place of Work)],"")</f>
        <v>Florida International University</v>
      </c>
      <c r="I90" s="44">
        <f>COUNTIFS(TableFA21323[Project],TableFA21323[[#This Row],[Project]],TableFA21323[Program],TableFA21323[[#This Row],[Program]])</f>
        <v>5</v>
      </c>
      <c r="J90" s="44">
        <f>COUNTIFS(TableFA21323[Project],TableFA21323[[#This Row],[Project]])</f>
        <v>5</v>
      </c>
      <c r="K90" s="45"/>
    </row>
    <row r="91" spans="1:11" s="41" customFormat="1" x14ac:dyDescent="0.2">
      <c r="A91" s="80"/>
      <c r="B91" s="46" t="s">
        <v>201</v>
      </c>
      <c r="C91" s="41" t="s">
        <v>202</v>
      </c>
      <c r="D91" s="41" t="s">
        <v>31</v>
      </c>
      <c r="E91" s="45" t="s">
        <v>200</v>
      </c>
      <c r="F91" s="45" t="str">
        <f>_xlfn.XLOOKUP(TableFA21323[[#This Row],[Project]],Projects[Project],Projects[Full Name],"")</f>
        <v>Giorgio Abboud</v>
      </c>
      <c r="G91" s="45" t="str">
        <f>_xlfn.XLOOKUP(TableFA21323[[#This Row],[Project]],Projects[Project],Projects[Work Email (no gmail/hotmail/etc.)],"")</f>
        <v>gabbo008@fiu.edu</v>
      </c>
      <c r="H91" s="45" t="str">
        <f>_xlfn.XLOOKUP(TableFA21323[[#This Row],[Project]],Projects[Project],Projects[Affiliation (Company/University/Place of Work)],"")</f>
        <v>Florida International University</v>
      </c>
      <c r="I91" s="44">
        <f>COUNTIFS(TableFA21323[Project],TableFA21323[[#This Row],[Project]],TableFA21323[Program],TableFA21323[[#This Row],[Program]])</f>
        <v>5</v>
      </c>
      <c r="J91" s="44">
        <f>COUNTIFS(TableFA21323[Project],TableFA21323[[#This Row],[Project]])</f>
        <v>5</v>
      </c>
      <c r="K91" s="45"/>
    </row>
    <row r="92" spans="1:11" s="41" customFormat="1" x14ac:dyDescent="0.2">
      <c r="A92" s="80"/>
      <c r="B92" s="41" t="s">
        <v>203</v>
      </c>
      <c r="C92" s="41" t="s">
        <v>204</v>
      </c>
      <c r="D92" s="41" t="s">
        <v>31</v>
      </c>
      <c r="E92" s="45" t="s">
        <v>200</v>
      </c>
      <c r="F92" s="45" t="str">
        <f>_xlfn.XLOOKUP(TableFA21323[[#This Row],[Project]],Projects[Project],Projects[Full Name],"")</f>
        <v>Giorgio Abboud</v>
      </c>
      <c r="G92" s="45" t="str">
        <f>_xlfn.XLOOKUP(TableFA21323[[#This Row],[Project]],Projects[Project],Projects[Work Email (no gmail/hotmail/etc.)],"")</f>
        <v>gabbo008@fiu.edu</v>
      </c>
      <c r="H92" s="45" t="str">
        <f>_xlfn.XLOOKUP(TableFA21323[[#This Row],[Project]],Projects[Project],Projects[Affiliation (Company/University/Place of Work)],"")</f>
        <v>Florida International University</v>
      </c>
      <c r="I92" s="44">
        <f>COUNTIFS(TableFA21323[Project],TableFA21323[[#This Row],[Project]],TableFA21323[Program],TableFA21323[[#This Row],[Program]])</f>
        <v>5</v>
      </c>
      <c r="J92" s="44">
        <f>COUNTIFS(TableFA21323[Project],TableFA21323[[#This Row],[Project]])</f>
        <v>5</v>
      </c>
      <c r="K92" s="45"/>
    </row>
    <row r="93" spans="1:11" s="48" customFormat="1" x14ac:dyDescent="0.2">
      <c r="A93" s="80"/>
      <c r="B93" s="41" t="s">
        <v>205</v>
      </c>
      <c r="C93" s="41" t="s">
        <v>206</v>
      </c>
      <c r="D93" s="41" t="s">
        <v>31</v>
      </c>
      <c r="E93" s="53" t="s">
        <v>200</v>
      </c>
      <c r="F93" s="45" t="str">
        <f>_xlfn.XLOOKUP(TableFA21323[[#This Row],[Project]],Projects[Project],Projects[Full Name],"")</f>
        <v>Giorgio Abboud</v>
      </c>
      <c r="G93" s="45" t="str">
        <f>_xlfn.XLOOKUP(TableFA21323[[#This Row],[Project]],Projects[Project],Projects[Work Email (no gmail/hotmail/etc.)],"")</f>
        <v>gabbo008@fiu.edu</v>
      </c>
      <c r="H93" s="45" t="str">
        <f>_xlfn.XLOOKUP(TableFA21323[[#This Row],[Project]],Projects[Project],Projects[Affiliation (Company/University/Place of Work)],"")</f>
        <v>Florida International University</v>
      </c>
      <c r="I93" s="44">
        <f>COUNTIFS(TableFA21323[Project],TableFA21323[[#This Row],[Project]],TableFA21323[Program],TableFA21323[[#This Row],[Program]])</f>
        <v>5</v>
      </c>
      <c r="J93" s="44">
        <f>COUNTIFS(TableFA21323[Project],TableFA21323[[#This Row],[Project]])</f>
        <v>5</v>
      </c>
      <c r="K93" s="45"/>
    </row>
    <row r="94" spans="1:11" s="43" customFormat="1" x14ac:dyDescent="0.2">
      <c r="A94" s="80"/>
      <c r="B94" s="41" t="s">
        <v>207</v>
      </c>
      <c r="C94" s="41" t="s">
        <v>208</v>
      </c>
      <c r="D94" s="41" t="s">
        <v>31</v>
      </c>
      <c r="E94" s="45" t="s">
        <v>200</v>
      </c>
      <c r="F94" s="45" t="str">
        <f>_xlfn.XLOOKUP(TableFA21323[[#This Row],[Project]],Projects[Project],Projects[Full Name],"")</f>
        <v>Giorgio Abboud</v>
      </c>
      <c r="G94" s="45" t="str">
        <f>_xlfn.XLOOKUP(TableFA21323[[#This Row],[Project]],Projects[Project],Projects[Work Email (no gmail/hotmail/etc.)],"")</f>
        <v>gabbo008@fiu.edu</v>
      </c>
      <c r="H94" s="45" t="str">
        <f>_xlfn.XLOOKUP(TableFA21323[[#This Row],[Project]],Projects[Project],Projects[Affiliation (Company/University/Place of Work)],"")</f>
        <v>Florida International University</v>
      </c>
      <c r="I94" s="44">
        <f>COUNTIFS(TableFA21323[Project],TableFA21323[[#This Row],[Project]],TableFA21323[Program],TableFA21323[[#This Row],[Program]])</f>
        <v>5</v>
      </c>
      <c r="J94" s="44">
        <f>COUNTIFS(TableFA21323[Project],TableFA21323[[#This Row],[Project]])</f>
        <v>5</v>
      </c>
      <c r="K94" s="45"/>
    </row>
    <row r="95" spans="1:11" s="3" customFormat="1" x14ac:dyDescent="0.2">
      <c r="B95"/>
      <c r="C95"/>
      <c r="D95"/>
      <c r="E95" s="1"/>
      <c r="F95" s="1"/>
      <c r="G95" s="1"/>
      <c r="H95" s="1"/>
      <c r="I95" s="1"/>
      <c r="J95" s="1"/>
      <c r="K95" s="1"/>
    </row>
    <row r="96" spans="1:11" s="43" customFormat="1" x14ac:dyDescent="0.2">
      <c r="A96" s="83">
        <v>17</v>
      </c>
      <c r="B96" s="68" t="s">
        <v>212</v>
      </c>
      <c r="C96" s="41" t="s">
        <v>213</v>
      </c>
      <c r="D96" s="45" t="s">
        <v>31</v>
      </c>
      <c r="E96" s="41" t="s">
        <v>211</v>
      </c>
      <c r="F96" s="45" t="str">
        <f>_xlfn.XLOOKUP(TableFA21323[[#This Row],[Project]],Projects[Project],Projects[Full Name],"")</f>
        <v>Pedro Villegas</v>
      </c>
      <c r="G96" s="45" t="str">
        <f>_xlfn.XLOOKUP(TableFA21323[[#This Row],[Project]],Projects[Project],Projects[Work Email (no gmail/hotmail/etc.)],"")</f>
        <v>Pvill044@fiu.edu</v>
      </c>
      <c r="H96" s="45" t="str">
        <f>_xlfn.XLOOKUP(TableFA21323[[#This Row],[Project]],Projects[Project],Projects[Affiliation (Company/University/Place of Work)],"")</f>
        <v>Florida International University</v>
      </c>
      <c r="I96" s="45">
        <f>COUNTIFS(TableFA21323[Project],TableFA21323[[#This Row],[Project]],TableFA21323[Program],TableFA21323[[#This Row],[Program]])</f>
        <v>5</v>
      </c>
      <c r="J96" s="45">
        <f>COUNTIFS(TableFA21323[Project],TableFA21323[[#This Row],[Project]])</f>
        <v>5</v>
      </c>
      <c r="K96" s="45"/>
    </row>
    <row r="97" spans="1:11" s="41" customFormat="1" x14ac:dyDescent="0.2">
      <c r="A97" s="83"/>
      <c r="B97" s="68" t="s">
        <v>214</v>
      </c>
      <c r="C97" s="41" t="s">
        <v>215</v>
      </c>
      <c r="D97" s="41" t="s">
        <v>31</v>
      </c>
      <c r="E97" s="45" t="s">
        <v>211</v>
      </c>
      <c r="F97" s="45" t="str">
        <f>_xlfn.XLOOKUP(TableFA21323[[#This Row],[Project]],Projects[Project],Projects[Full Name],"")</f>
        <v>Pedro Villegas</v>
      </c>
      <c r="G97" s="45" t="str">
        <f>_xlfn.XLOOKUP(TableFA21323[[#This Row],[Project]],Projects[Project],Projects[Work Email (no gmail/hotmail/etc.)],"")</f>
        <v>Pvill044@fiu.edu</v>
      </c>
      <c r="H97" s="45" t="str">
        <f>_xlfn.XLOOKUP(TableFA21323[[#This Row],[Project]],Projects[Project],Projects[Affiliation (Company/University/Place of Work)],"")</f>
        <v>Florida International University</v>
      </c>
      <c r="I97" s="44">
        <f>COUNTIFS(TableFA21323[Project],TableFA21323[[#This Row],[Project]],TableFA21323[Program],TableFA21323[[#This Row],[Program]])</f>
        <v>5</v>
      </c>
      <c r="J97" s="44">
        <f>COUNTIFS(TableFA21323[Project],TableFA21323[[#This Row],[Project]])</f>
        <v>5</v>
      </c>
      <c r="K97" s="45"/>
    </row>
    <row r="98" spans="1:11" s="41" customFormat="1" x14ac:dyDescent="0.2">
      <c r="A98" s="83"/>
      <c r="B98" s="68" t="s">
        <v>216</v>
      </c>
      <c r="C98" s="41" t="s">
        <v>217</v>
      </c>
      <c r="D98" s="45" t="s">
        <v>31</v>
      </c>
      <c r="E98" s="41" t="s">
        <v>211</v>
      </c>
      <c r="F98" s="45" t="str">
        <f>_xlfn.XLOOKUP(TableFA21323[[#This Row],[Project]],Projects[Project],Projects[Full Name],"")</f>
        <v>Pedro Villegas</v>
      </c>
      <c r="G98" s="45" t="str">
        <f>_xlfn.XLOOKUP(TableFA21323[[#This Row],[Project]],Projects[Project],Projects[Work Email (no gmail/hotmail/etc.)],"")</f>
        <v>Pvill044@fiu.edu</v>
      </c>
      <c r="H98" s="45" t="str">
        <f>_xlfn.XLOOKUP(TableFA21323[[#This Row],[Project]],Projects[Project],Projects[Affiliation (Company/University/Place of Work)],"")</f>
        <v>Florida International University</v>
      </c>
      <c r="I98" s="44">
        <f>COUNTIFS(TableFA21323[Project],TableFA21323[[#This Row],[Project]],TableFA21323[Program],TableFA21323[[#This Row],[Program]])</f>
        <v>5</v>
      </c>
      <c r="J98" s="44">
        <f>COUNTIFS(TableFA21323[Project],TableFA21323[[#This Row],[Project]])</f>
        <v>5</v>
      </c>
      <c r="K98" s="45"/>
    </row>
    <row r="99" spans="1:11" s="41" customFormat="1" x14ac:dyDescent="0.2">
      <c r="A99" s="83"/>
      <c r="B99" s="69" t="s">
        <v>218</v>
      </c>
      <c r="C99" s="41" t="s">
        <v>219</v>
      </c>
      <c r="D99" s="41" t="s">
        <v>31</v>
      </c>
      <c r="E99" s="45" t="s">
        <v>211</v>
      </c>
      <c r="F99" s="45" t="str">
        <f>_xlfn.XLOOKUP(TableFA21323[[#This Row],[Project]],Projects[Project],Projects[Full Name],"")</f>
        <v>Pedro Villegas</v>
      </c>
      <c r="G99" s="45" t="str">
        <f>_xlfn.XLOOKUP(TableFA21323[[#This Row],[Project]],Projects[Project],Projects[Work Email (no gmail/hotmail/etc.)],"")</f>
        <v>Pvill044@fiu.edu</v>
      </c>
      <c r="H99" s="45" t="str">
        <f>_xlfn.XLOOKUP(TableFA21323[[#This Row],[Project]],Projects[Project],Projects[Affiliation (Company/University/Place of Work)],"")</f>
        <v>Florida International University</v>
      </c>
      <c r="I99" s="45">
        <f>COUNTIFS(TableFA21323[Project],TableFA21323[[#This Row],[Project]],TableFA21323[Program],TableFA21323[[#This Row],[Program]])</f>
        <v>5</v>
      </c>
      <c r="J99" s="45">
        <f>COUNTIFS(TableFA21323[Project],TableFA21323[[#This Row],[Project]])</f>
        <v>5</v>
      </c>
      <c r="K99" s="45"/>
    </row>
    <row r="100" spans="1:11" s="41" customFormat="1" x14ac:dyDescent="0.2">
      <c r="A100" s="83"/>
      <c r="B100" s="43" t="s">
        <v>209</v>
      </c>
      <c r="C100" s="43" t="s">
        <v>210</v>
      </c>
      <c r="D100" s="43" t="s">
        <v>31</v>
      </c>
      <c r="E100" s="44" t="s">
        <v>211</v>
      </c>
      <c r="F100" s="44" t="str">
        <f>_xlfn.XLOOKUP(TableFA21323[[#This Row],[Project]],Projects[Project],Projects[Full Name],"")</f>
        <v>Pedro Villegas</v>
      </c>
      <c r="G100" s="44" t="str">
        <f>_xlfn.XLOOKUP(TableFA21323[[#This Row],[Project]],Projects[Project],Projects[Work Email (no gmail/hotmail/etc.)],"")</f>
        <v>Pvill044@fiu.edu</v>
      </c>
      <c r="H100" s="44" t="str">
        <f>_xlfn.XLOOKUP(TableFA21323[[#This Row],[Project]],Projects[Project],Projects[Affiliation (Company/University/Place of Work)],"")</f>
        <v>Florida International University</v>
      </c>
      <c r="I100" s="44">
        <f>COUNTIFS(TableFA21323[Project],TableFA21323[[#This Row],[Project]],TableFA21323[Program],TableFA21323[[#This Row],[Program]])</f>
        <v>5</v>
      </c>
      <c r="J100" s="44">
        <f>COUNTIFS(TableFA21323[Project],TableFA21323[[#This Row],[Project]])</f>
        <v>5</v>
      </c>
      <c r="K100" s="45"/>
    </row>
    <row r="101" spans="1:11" x14ac:dyDescent="0.2">
      <c r="E101" s="1"/>
      <c r="F101" s="1"/>
      <c r="G101" s="1"/>
      <c r="H101" s="1"/>
      <c r="I101" s="1"/>
      <c r="J101" s="1"/>
      <c r="K101" s="1"/>
    </row>
    <row r="102" spans="1:11" s="41" customFormat="1" x14ac:dyDescent="0.2">
      <c r="A102" s="80">
        <v>18</v>
      </c>
      <c r="B102" s="41" t="s">
        <v>223</v>
      </c>
      <c r="C102" s="41" t="s">
        <v>224</v>
      </c>
      <c r="D102" s="41" t="s">
        <v>31</v>
      </c>
      <c r="E102" s="45" t="s">
        <v>222</v>
      </c>
      <c r="F102" s="45" t="str">
        <f>_xlfn.XLOOKUP(TableFA21323[[#This Row],[Project]],Projects[Project],Projects[Full Name],"")</f>
        <v>Brian Garcia</v>
      </c>
      <c r="G102" s="45" t="str">
        <f>_xlfn.XLOOKUP(TableFA21323[[#This Row],[Project]],Projects[Project],Projects[Work Email (no gmail/hotmail/etc.)],"")</f>
        <v>bgarc209@fiu.edu</v>
      </c>
      <c r="H102" s="45" t="str">
        <f>_xlfn.XLOOKUP(TableFA21323[[#This Row],[Project]],Projects[Project],Projects[Affiliation (Company/University/Place of Work)],"")</f>
        <v>Florida International University</v>
      </c>
      <c r="I102" s="44">
        <f>COUNTIFS(TableFA21323[Project],TableFA21323[[#This Row],[Project]],TableFA21323[Program],TableFA21323[[#This Row],[Program]])</f>
        <v>5</v>
      </c>
      <c r="J102" s="44">
        <f>COUNTIFS(TableFA21323[Project],TableFA21323[[#This Row],[Project]])</f>
        <v>5</v>
      </c>
      <c r="K102" s="45"/>
    </row>
    <row r="103" spans="1:11" s="41" customFormat="1" x14ac:dyDescent="0.2">
      <c r="A103" s="80"/>
      <c r="B103" s="41" t="s">
        <v>225</v>
      </c>
      <c r="C103" s="41" t="s">
        <v>226</v>
      </c>
      <c r="D103" s="41" t="s">
        <v>31</v>
      </c>
      <c r="E103" s="45" t="s">
        <v>222</v>
      </c>
      <c r="F103" s="45" t="str">
        <f>_xlfn.XLOOKUP(TableFA21323[[#This Row],[Project]],Projects[Project],Projects[Full Name],"")</f>
        <v>Brian Garcia</v>
      </c>
      <c r="G103" s="45" t="str">
        <f>_xlfn.XLOOKUP(TableFA21323[[#This Row],[Project]],Projects[Project],Projects[Work Email (no gmail/hotmail/etc.)],"")</f>
        <v>bgarc209@fiu.edu</v>
      </c>
      <c r="H103" s="45" t="str">
        <f>_xlfn.XLOOKUP(TableFA21323[[#This Row],[Project]],Projects[Project],Projects[Affiliation (Company/University/Place of Work)],"")</f>
        <v>Florida International University</v>
      </c>
      <c r="I103" s="44">
        <f>COUNTIFS(TableFA21323[Project],TableFA21323[[#This Row],[Project]],TableFA21323[Program],TableFA21323[[#This Row],[Program]])</f>
        <v>5</v>
      </c>
      <c r="J103" s="44">
        <f>COUNTIFS(TableFA21323[Project],TableFA21323[[#This Row],[Project]])</f>
        <v>5</v>
      </c>
      <c r="K103" s="45"/>
    </row>
    <row r="104" spans="1:11" s="41" customFormat="1" x14ac:dyDescent="0.2">
      <c r="A104" s="80"/>
      <c r="B104" s="41" t="s">
        <v>227</v>
      </c>
      <c r="C104" s="41" t="s">
        <v>228</v>
      </c>
      <c r="D104" s="41" t="s">
        <v>31</v>
      </c>
      <c r="E104" s="45" t="s">
        <v>222</v>
      </c>
      <c r="F104" s="45" t="str">
        <f>_xlfn.XLOOKUP(TableFA21323[[#This Row],[Project]],Projects[Project],Projects[Full Name],"")</f>
        <v>Brian Garcia</v>
      </c>
      <c r="G104" s="45" t="str">
        <f>_xlfn.XLOOKUP(TableFA21323[[#This Row],[Project]],Projects[Project],Projects[Work Email (no gmail/hotmail/etc.)],"")</f>
        <v>bgarc209@fiu.edu</v>
      </c>
      <c r="H104" s="45" t="str">
        <f>_xlfn.XLOOKUP(TableFA21323[[#This Row],[Project]],Projects[Project],Projects[Affiliation (Company/University/Place of Work)],"")</f>
        <v>Florida International University</v>
      </c>
      <c r="I104" s="44">
        <f>COUNTIFS(TableFA21323[Project],TableFA21323[[#This Row],[Project]],TableFA21323[Program],TableFA21323[[#This Row],[Program]])</f>
        <v>5</v>
      </c>
      <c r="J104" s="44">
        <f>COUNTIFS(TableFA21323[Project],TableFA21323[[#This Row],[Project]])</f>
        <v>5</v>
      </c>
      <c r="K104" s="45"/>
    </row>
    <row r="105" spans="1:11" s="41" customFormat="1" x14ac:dyDescent="0.2">
      <c r="A105" s="80"/>
      <c r="B105" s="43" t="s">
        <v>220</v>
      </c>
      <c r="C105" s="43" t="s">
        <v>221</v>
      </c>
      <c r="D105" s="43" t="s">
        <v>31</v>
      </c>
      <c r="E105" s="44" t="s">
        <v>222</v>
      </c>
      <c r="F105" s="45" t="str">
        <f>_xlfn.XLOOKUP(TableFA21323[[#This Row],[Project]],Projects[Project],Projects[Full Name],"")</f>
        <v>Brian Garcia</v>
      </c>
      <c r="G105" s="45" t="str">
        <f>_xlfn.XLOOKUP(TableFA21323[[#This Row],[Project]],Projects[Project],Projects[Work Email (no gmail/hotmail/etc.)],"")</f>
        <v>bgarc209@fiu.edu</v>
      </c>
      <c r="H105" s="45" t="str">
        <f>_xlfn.XLOOKUP(TableFA21323[[#This Row],[Project]],Projects[Project],Projects[Affiliation (Company/University/Place of Work)],"")</f>
        <v>Florida International University</v>
      </c>
      <c r="I105" s="44">
        <f>COUNTIFS(TableFA21323[Project],TableFA21323[[#This Row],[Project]],TableFA21323[Program],TableFA21323[[#This Row],[Program]])</f>
        <v>5</v>
      </c>
      <c r="J105" s="44">
        <f>COUNTIFS(TableFA21323[Project],TableFA21323[[#This Row],[Project]])</f>
        <v>5</v>
      </c>
      <c r="K105" s="45"/>
    </row>
    <row r="106" spans="1:11" s="43" customFormat="1" x14ac:dyDescent="0.2">
      <c r="A106" s="80"/>
      <c r="B106" s="41" t="s">
        <v>229</v>
      </c>
      <c r="C106" s="41" t="s">
        <v>230</v>
      </c>
      <c r="D106" s="41" t="s">
        <v>31</v>
      </c>
      <c r="E106" s="45" t="s">
        <v>222</v>
      </c>
      <c r="F106" s="45" t="str">
        <f>_xlfn.XLOOKUP(TableFA21323[[#This Row],[Project]],Projects[Project],Projects[Full Name],"")</f>
        <v>Brian Garcia</v>
      </c>
      <c r="G106" s="45" t="str">
        <f>_xlfn.XLOOKUP(TableFA21323[[#This Row],[Project]],Projects[Project],Projects[Work Email (no gmail/hotmail/etc.)],"")</f>
        <v>bgarc209@fiu.edu</v>
      </c>
      <c r="H106" s="45" t="str">
        <f>_xlfn.XLOOKUP(TableFA21323[[#This Row],[Project]],Projects[Project],Projects[Affiliation (Company/University/Place of Work)],"")</f>
        <v>Florida International University</v>
      </c>
      <c r="I106" s="44">
        <f>COUNTIFS(TableFA21323[Project],TableFA21323[[#This Row],[Project]],TableFA21323[Program],TableFA21323[[#This Row],[Program]])</f>
        <v>5</v>
      </c>
      <c r="J106" s="44">
        <f>COUNTIFS(TableFA21323[Project],TableFA21323[[#This Row],[Project]])</f>
        <v>5</v>
      </c>
      <c r="K106" s="45"/>
    </row>
    <row r="107" spans="1:11" s="3" customFormat="1" x14ac:dyDescent="0.2">
      <c r="B107"/>
      <c r="C107"/>
      <c r="D107"/>
      <c r="E107" s="1"/>
      <c r="F107" s="1"/>
      <c r="G107" s="1"/>
      <c r="H107" s="1"/>
      <c r="I107" s="1"/>
      <c r="J107" s="1"/>
      <c r="K107" s="1"/>
    </row>
    <row r="108" spans="1:11" s="41" customFormat="1" x14ac:dyDescent="0.2">
      <c r="A108" s="80">
        <v>19</v>
      </c>
      <c r="B108" s="41" t="s">
        <v>234</v>
      </c>
      <c r="C108" s="41" t="s">
        <v>235</v>
      </c>
      <c r="D108" s="41" t="s">
        <v>31</v>
      </c>
      <c r="E108" s="45" t="s">
        <v>233</v>
      </c>
      <c r="F108" s="45" t="str">
        <f>_xlfn.XLOOKUP(TableFA21323[[#This Row],[Project]],Projects[Project],Projects[Full Name],"")</f>
        <v>Jennifer Mesa</v>
      </c>
      <c r="G108" s="45" t="str">
        <f>_xlfn.XLOOKUP(TableFA21323[[#This Row],[Project]],Projects[Project],Projects[Work Email (no gmail/hotmail/etc.)],"")</f>
        <v>jmesa074@fiu.edu</v>
      </c>
      <c r="H108" s="45" t="str">
        <f>_xlfn.XLOOKUP(TableFA21323[[#This Row],[Project]],Projects[Project],Projects[Affiliation (Company/University/Place of Work)],"")</f>
        <v>Florida International University</v>
      </c>
      <c r="I108" s="44">
        <f>COUNTIFS(TableFA21323[Project],TableFA21323[[#This Row],[Project]],TableFA21323[Program],TableFA21323[[#This Row],[Program]])</f>
        <v>5</v>
      </c>
      <c r="J108" s="44">
        <f>COUNTIFS(TableFA21323[Project],TableFA21323[[#This Row],[Project]])</f>
        <v>5</v>
      </c>
      <c r="K108" s="45"/>
    </row>
    <row r="109" spans="1:11" s="41" customFormat="1" x14ac:dyDescent="0.2">
      <c r="A109" s="80"/>
      <c r="B109" s="41" t="s">
        <v>236</v>
      </c>
      <c r="C109" s="41" t="s">
        <v>237</v>
      </c>
      <c r="D109" s="41" t="s">
        <v>31</v>
      </c>
      <c r="E109" s="45" t="s">
        <v>233</v>
      </c>
      <c r="F109" s="45" t="str">
        <f>_xlfn.XLOOKUP(TableFA21323[[#This Row],[Project]],Projects[Project],Projects[Full Name],"")</f>
        <v>Jennifer Mesa</v>
      </c>
      <c r="G109" s="45" t="str">
        <f>_xlfn.XLOOKUP(TableFA21323[[#This Row],[Project]],Projects[Project],Projects[Work Email (no gmail/hotmail/etc.)],"")</f>
        <v>jmesa074@fiu.edu</v>
      </c>
      <c r="H109" s="45" t="str">
        <f>_xlfn.XLOOKUP(TableFA21323[[#This Row],[Project]],Projects[Project],Projects[Affiliation (Company/University/Place of Work)],"")</f>
        <v>Florida International University</v>
      </c>
      <c r="I109" s="44">
        <f>COUNTIFS(TableFA21323[Project],TableFA21323[[#This Row],[Project]],TableFA21323[Program],TableFA21323[[#This Row],[Program]])</f>
        <v>5</v>
      </c>
      <c r="J109" s="44">
        <f>COUNTIFS(TableFA21323[Project],TableFA21323[[#This Row],[Project]])</f>
        <v>5</v>
      </c>
      <c r="K109" s="45"/>
    </row>
    <row r="110" spans="1:11" s="41" customFormat="1" x14ac:dyDescent="0.2">
      <c r="A110" s="80"/>
      <c r="B110" s="41" t="s">
        <v>238</v>
      </c>
      <c r="C110" s="41" t="s">
        <v>239</v>
      </c>
      <c r="D110" s="41" t="s">
        <v>31</v>
      </c>
      <c r="E110" s="45" t="s">
        <v>233</v>
      </c>
      <c r="F110" s="45" t="str">
        <f>_xlfn.XLOOKUP(TableFA21323[[#This Row],[Project]],Projects[Project],Projects[Full Name],"")</f>
        <v>Jennifer Mesa</v>
      </c>
      <c r="G110" s="45" t="str">
        <f>_xlfn.XLOOKUP(TableFA21323[[#This Row],[Project]],Projects[Project],Projects[Work Email (no gmail/hotmail/etc.)],"")</f>
        <v>jmesa074@fiu.edu</v>
      </c>
      <c r="H110" s="45" t="str">
        <f>_xlfn.XLOOKUP(TableFA21323[[#This Row],[Project]],Projects[Project],Projects[Affiliation (Company/University/Place of Work)],"")</f>
        <v>Florida International University</v>
      </c>
      <c r="I110" s="44">
        <f>COUNTIFS(TableFA21323[Project],TableFA21323[[#This Row],[Project]],TableFA21323[Program],TableFA21323[[#This Row],[Program]])</f>
        <v>5</v>
      </c>
      <c r="J110" s="44">
        <f>COUNTIFS(TableFA21323[Project],TableFA21323[[#This Row],[Project]])</f>
        <v>5</v>
      </c>
      <c r="K110" s="45"/>
    </row>
    <row r="111" spans="1:11" s="41" customFormat="1" x14ac:dyDescent="0.2">
      <c r="A111" s="80"/>
      <c r="B111" s="43" t="s">
        <v>231</v>
      </c>
      <c r="C111" s="43" t="s">
        <v>232</v>
      </c>
      <c r="D111" s="43" t="s">
        <v>31</v>
      </c>
      <c r="E111" s="44" t="s">
        <v>233</v>
      </c>
      <c r="F111" s="44" t="str">
        <f>_xlfn.XLOOKUP(TableFA21323[[#This Row],[Project]],Projects[Project],Projects[Full Name],"")</f>
        <v>Jennifer Mesa</v>
      </c>
      <c r="G111" s="44" t="str">
        <f>_xlfn.XLOOKUP(TableFA21323[[#This Row],[Project]],Projects[Project],Projects[Work Email (no gmail/hotmail/etc.)],"")</f>
        <v>jmesa074@fiu.edu</v>
      </c>
      <c r="H111" s="44" t="str">
        <f>_xlfn.XLOOKUP(TableFA21323[[#This Row],[Project]],Projects[Project],Projects[Affiliation (Company/University/Place of Work)],"")</f>
        <v>Florida International University</v>
      </c>
      <c r="I111" s="44">
        <f>COUNTIFS(TableFA21323[Project],TableFA21323[[#This Row],[Project]],TableFA21323[Program],TableFA21323[[#This Row],[Program]])</f>
        <v>5</v>
      </c>
      <c r="J111" s="44">
        <f>COUNTIFS(TableFA21323[Project],TableFA21323[[#This Row],[Project]])</f>
        <v>5</v>
      </c>
      <c r="K111" s="45"/>
    </row>
    <row r="112" spans="1:11" s="41" customFormat="1" x14ac:dyDescent="0.2">
      <c r="A112" s="80"/>
      <c r="B112" s="41" t="s">
        <v>240</v>
      </c>
      <c r="C112" s="41" t="s">
        <v>241</v>
      </c>
      <c r="D112" s="41" t="s">
        <v>31</v>
      </c>
      <c r="E112" s="45" t="s">
        <v>233</v>
      </c>
      <c r="F112" s="45" t="str">
        <f>_xlfn.XLOOKUP(TableFA21323[[#This Row],[Project]],Projects[Project],Projects[Full Name],"")</f>
        <v>Jennifer Mesa</v>
      </c>
      <c r="G112" s="45" t="str">
        <f>_xlfn.XLOOKUP(TableFA21323[[#This Row],[Project]],Projects[Project],Projects[Work Email (no gmail/hotmail/etc.)],"")</f>
        <v>jmesa074@fiu.edu</v>
      </c>
      <c r="H112" s="45" t="str">
        <f>_xlfn.XLOOKUP(TableFA21323[[#This Row],[Project]],Projects[Project],Projects[Affiliation (Company/University/Place of Work)],"")</f>
        <v>Florida International University</v>
      </c>
      <c r="I112" s="44">
        <f>COUNTIFS(TableFA21323[Project],TableFA21323[[#This Row],[Project]],TableFA21323[Program],TableFA21323[[#This Row],[Program]])</f>
        <v>5</v>
      </c>
      <c r="J112" s="44">
        <f>COUNTIFS(TableFA21323[Project],TableFA21323[[#This Row],[Project]])</f>
        <v>5</v>
      </c>
      <c r="K112" s="45"/>
    </row>
    <row r="113" spans="1:11" ht="31" x14ac:dyDescent="0.2">
      <c r="A113" s="67"/>
      <c r="E113" s="1"/>
      <c r="F113" s="1"/>
      <c r="G113" s="1"/>
      <c r="H113" s="1"/>
      <c r="I113" s="1"/>
      <c r="J113" s="1"/>
      <c r="K113" s="1"/>
    </row>
    <row r="114" spans="1:11" s="41" customFormat="1" x14ac:dyDescent="0.2">
      <c r="A114" s="80">
        <v>20</v>
      </c>
      <c r="B114" s="46" t="s">
        <v>245</v>
      </c>
      <c r="C114" s="41" t="s">
        <v>246</v>
      </c>
      <c r="D114" s="41" t="s">
        <v>31</v>
      </c>
      <c r="E114" s="45" t="s">
        <v>244</v>
      </c>
      <c r="F114" s="45" t="str">
        <f>_xlfn.XLOOKUP(TableFA21323[[#This Row],[Project]],Projects[Project],Projects[Full Name],"")</f>
        <v>Ravi Venugopal</v>
      </c>
      <c r="G114" s="45" t="str">
        <f>_xlfn.XLOOKUP(TableFA21323[[#This Row],[Project]],Projects[Project],Projects[Work Email (no gmail/hotmail/etc.)],"")</f>
        <v>ravi@giggso.com</v>
      </c>
      <c r="H114" s="45" t="str">
        <f>_xlfn.XLOOKUP(TableFA21323[[#This Row],[Project]],Projects[Project],Projects[Affiliation (Company/University/Place of Work)],"")</f>
        <v>Giggso</v>
      </c>
      <c r="I114" s="44">
        <f>COUNTIFS(TableFA21323[Project],TableFA21323[[#This Row],[Project]],TableFA21323[Program],TableFA21323[[#This Row],[Program]])</f>
        <v>3</v>
      </c>
      <c r="J114" s="44">
        <f>COUNTIFS(TableFA21323[Project],TableFA21323[[#This Row],[Project]])</f>
        <v>5</v>
      </c>
      <c r="K114" s="45"/>
    </row>
    <row r="115" spans="1:11" s="41" customFormat="1" x14ac:dyDescent="0.2">
      <c r="A115" s="80"/>
      <c r="B115" s="46" t="s">
        <v>482</v>
      </c>
      <c r="C115" s="41" t="s">
        <v>483</v>
      </c>
      <c r="D115" s="41" t="s">
        <v>481</v>
      </c>
      <c r="E115" s="45" t="s">
        <v>244</v>
      </c>
      <c r="F115" s="45" t="str">
        <f>_xlfn.XLOOKUP(TableFA21323[[#This Row],[Project]],Projects[Project],Projects[Full Name],"")</f>
        <v>Ravi Venugopal</v>
      </c>
      <c r="G115" s="45" t="str">
        <f>_xlfn.XLOOKUP(TableFA21323[[#This Row],[Project]],Projects[Project],Projects[Work Email (no gmail/hotmail/etc.)],"")</f>
        <v>ravi@giggso.com</v>
      </c>
      <c r="H115" s="45" t="str">
        <f>_xlfn.XLOOKUP(TableFA21323[[#This Row],[Project]],Projects[Project],Projects[Affiliation (Company/University/Place of Work)],"")</f>
        <v>Giggso</v>
      </c>
      <c r="I115" s="44">
        <f>COUNTIFS(TableFA21323[Project],TableFA21323[[#This Row],[Project]],TableFA21323[Program],TableFA21323[[#This Row],[Program]])</f>
        <v>2</v>
      </c>
      <c r="J115" s="44">
        <f>COUNTIFS(TableFA21323[Project],TableFA21323[[#This Row],[Project]])</f>
        <v>5</v>
      </c>
      <c r="K115" s="45"/>
    </row>
    <row r="116" spans="1:11" s="41" customFormat="1" x14ac:dyDescent="0.2">
      <c r="A116" s="80"/>
      <c r="B116" s="43" t="s">
        <v>479</v>
      </c>
      <c r="C116" s="43" t="s">
        <v>480</v>
      </c>
      <c r="D116" s="43" t="s">
        <v>481</v>
      </c>
      <c r="E116" s="44" t="s">
        <v>244</v>
      </c>
      <c r="F116" s="45" t="str">
        <f>_xlfn.XLOOKUP(TableFA21323[[#This Row],[Project]],Projects[Project],Projects[Full Name],"")</f>
        <v>Ravi Venugopal</v>
      </c>
      <c r="G116" s="45" t="str">
        <f>_xlfn.XLOOKUP(TableFA21323[[#This Row],[Project]],Projects[Project],Projects[Work Email (no gmail/hotmail/etc.)],"")</f>
        <v>ravi@giggso.com</v>
      </c>
      <c r="H116" s="45" t="str">
        <f>_xlfn.XLOOKUP(TableFA21323[[#This Row],[Project]],Projects[Project],Projects[Affiliation (Company/University/Place of Work)],"")</f>
        <v>Giggso</v>
      </c>
      <c r="I116" s="44">
        <f>COUNTIFS(TableFA21323[Project],TableFA21323[[#This Row],[Project]],TableFA21323[Program],TableFA21323[[#This Row],[Program]])</f>
        <v>2</v>
      </c>
      <c r="J116" s="44">
        <f>COUNTIFS(TableFA21323[Project],TableFA21323[[#This Row],[Project]])</f>
        <v>5</v>
      </c>
      <c r="K116" s="45"/>
    </row>
    <row r="117" spans="1:11" s="41" customFormat="1" x14ac:dyDescent="0.2">
      <c r="A117" s="80"/>
      <c r="B117" s="43" t="s">
        <v>242</v>
      </c>
      <c r="C117" s="43" t="s">
        <v>243</v>
      </c>
      <c r="D117" s="43" t="s">
        <v>31</v>
      </c>
      <c r="E117" s="43" t="s">
        <v>244</v>
      </c>
      <c r="F117" s="44" t="str">
        <f>_xlfn.XLOOKUP(TableFA21323[[#This Row],[Project]],Projects[Project],Projects[Full Name],"")</f>
        <v>Ravi Venugopal</v>
      </c>
      <c r="G117" s="44"/>
      <c r="H117" s="44" t="str">
        <f>_xlfn.XLOOKUP(TableFA21323[[#This Row],[Project]],Projects[Project],Projects[Affiliation (Company/University/Place of Work)],"")</f>
        <v>Giggso</v>
      </c>
      <c r="I117" s="44">
        <f>COUNTIFS(TableFA21323[Project],TableFA21323[[#This Row],[Project]],TableFA21323[Program],TableFA21323[[#This Row],[Program]])</f>
        <v>3</v>
      </c>
      <c r="J117" s="44">
        <f>COUNTIFS(TableFA21323[Project],TableFA21323[[#This Row],[Project]])</f>
        <v>5</v>
      </c>
      <c r="K117" s="45"/>
    </row>
    <row r="118" spans="1:11" s="41" customFormat="1" x14ac:dyDescent="0.2">
      <c r="A118" s="80"/>
      <c r="B118" s="41" t="s">
        <v>247</v>
      </c>
      <c r="C118" s="41" t="s">
        <v>248</v>
      </c>
      <c r="D118" s="41" t="s">
        <v>31</v>
      </c>
      <c r="E118" s="45" t="s">
        <v>244</v>
      </c>
      <c r="F118" s="45" t="str">
        <f>_xlfn.XLOOKUP(TableFA21323[[#This Row],[Project]],Projects[Project],Projects[Full Name],"")</f>
        <v>Ravi Venugopal</v>
      </c>
      <c r="G118" s="45" t="str">
        <f>_xlfn.XLOOKUP(TableFA21323[[#This Row],[Project]],Projects[Project],Projects[Work Email (no gmail/hotmail/etc.)],"")</f>
        <v>ravi@giggso.com</v>
      </c>
      <c r="H118" s="45" t="str">
        <f>_xlfn.XLOOKUP(TableFA21323[[#This Row],[Project]],Projects[Project],Projects[Affiliation (Company/University/Place of Work)],"")</f>
        <v>Giggso</v>
      </c>
      <c r="I118" s="44">
        <f>COUNTIFS(TableFA21323[Project],TableFA21323[[#This Row],[Project]],TableFA21323[Program],TableFA21323[[#This Row],[Program]])</f>
        <v>3</v>
      </c>
      <c r="J118" s="44">
        <f>COUNTIFS(TableFA21323[Project],TableFA21323[[#This Row],[Project]])</f>
        <v>5</v>
      </c>
      <c r="K118" s="45"/>
    </row>
    <row r="119" spans="1:11" x14ac:dyDescent="0.2">
      <c r="E119" s="1"/>
      <c r="F119" s="1"/>
      <c r="G119" s="1"/>
      <c r="H119" s="1"/>
      <c r="I119" s="1"/>
      <c r="J119" s="1"/>
      <c r="K119" s="1"/>
    </row>
    <row r="120" spans="1:11" s="43" customFormat="1" x14ac:dyDescent="0.2">
      <c r="A120" s="83">
        <v>21</v>
      </c>
      <c r="B120" s="41" t="s">
        <v>252</v>
      </c>
      <c r="C120" s="41" t="s">
        <v>253</v>
      </c>
      <c r="D120" s="41" t="s">
        <v>31</v>
      </c>
      <c r="E120" s="45" t="s">
        <v>251</v>
      </c>
      <c r="F120" s="45" t="str">
        <f>_xlfn.XLOOKUP(TableFA21323[[#This Row],[Project]],Projects[Project],Projects[Full Name],"")</f>
        <v>Nicholas Delgado</v>
      </c>
      <c r="G120" s="45" t="str">
        <f>_xlfn.XLOOKUP(TableFA21323[[#This Row],[Project]],Projects[Project],Projects[Work Email (no gmail/hotmail/etc.)],"")</f>
        <v>ndelg052@fiu.edu</v>
      </c>
      <c r="H120" s="45" t="str">
        <f>_xlfn.XLOOKUP(TableFA21323[[#This Row],[Project]],Projects[Project],Projects[Affiliation (Company/University/Place of Work)],"")</f>
        <v>Florida International University</v>
      </c>
      <c r="I120" s="44">
        <f>COUNTIFS(TableFA21323[Project],TableFA21323[[#This Row],[Project]],TableFA21323[Program],TableFA21323[[#This Row],[Program]])</f>
        <v>3</v>
      </c>
      <c r="J120" s="44">
        <f>COUNTIFS(TableFA21323[Project],TableFA21323[[#This Row],[Project]])</f>
        <v>3</v>
      </c>
      <c r="K120" s="45"/>
    </row>
    <row r="121" spans="1:11" s="41" customFormat="1" x14ac:dyDescent="0.2">
      <c r="A121" s="83"/>
      <c r="B121" s="41" t="s">
        <v>254</v>
      </c>
      <c r="C121" s="41" t="s">
        <v>255</v>
      </c>
      <c r="D121" s="41" t="s">
        <v>31</v>
      </c>
      <c r="E121" s="45" t="s">
        <v>251</v>
      </c>
      <c r="F121" s="45" t="str">
        <f>_xlfn.XLOOKUP(TableFA21323[[#This Row],[Project]],Projects[Project],Projects[Full Name],"")</f>
        <v>Nicholas Delgado</v>
      </c>
      <c r="G121" s="45" t="str">
        <f>_xlfn.XLOOKUP(TableFA21323[[#This Row],[Project]],Projects[Project],Projects[Work Email (no gmail/hotmail/etc.)],"")</f>
        <v>ndelg052@fiu.edu</v>
      </c>
      <c r="H121" s="45" t="str">
        <f>_xlfn.XLOOKUP(TableFA21323[[#This Row],[Project]],Projects[Project],Projects[Affiliation (Company/University/Place of Work)],"")</f>
        <v>Florida International University</v>
      </c>
      <c r="I121" s="44">
        <f>COUNTIFS(TableFA21323[Project],TableFA21323[[#This Row],[Project]],TableFA21323[Program],TableFA21323[[#This Row],[Program]])</f>
        <v>3</v>
      </c>
      <c r="J121" s="44">
        <f>COUNTIFS(TableFA21323[Project],TableFA21323[[#This Row],[Project]])</f>
        <v>3</v>
      </c>
      <c r="K121" s="45"/>
    </row>
    <row r="122" spans="1:11" s="43" customFormat="1" x14ac:dyDescent="0.2">
      <c r="A122" s="83"/>
      <c r="B122" s="46" t="s">
        <v>249</v>
      </c>
      <c r="C122" s="43" t="s">
        <v>250</v>
      </c>
      <c r="D122" s="43" t="s">
        <v>31</v>
      </c>
      <c r="E122" s="44" t="s">
        <v>251</v>
      </c>
      <c r="F122" s="45" t="str">
        <f>_xlfn.XLOOKUP(TableFA21323[[#This Row],[Project]],Projects[Project],Projects[Full Name],"")</f>
        <v>Nicholas Delgado</v>
      </c>
      <c r="G122" s="45" t="str">
        <f>_xlfn.XLOOKUP(TableFA21323[[#This Row],[Project]],Projects[Project],Projects[Work Email (no gmail/hotmail/etc.)],"")</f>
        <v>ndelg052@fiu.edu</v>
      </c>
      <c r="H122" s="45" t="str">
        <f>_xlfn.XLOOKUP(TableFA21323[[#This Row],[Project]],Projects[Project],Projects[Affiliation (Company/University/Place of Work)],"")</f>
        <v>Florida International University</v>
      </c>
      <c r="I122" s="44">
        <f>COUNTIFS(TableFA21323[Project],TableFA21323[[#This Row],[Project]],TableFA21323[Program],TableFA21323[[#This Row],[Program]])</f>
        <v>3</v>
      </c>
      <c r="J122" s="44">
        <f>COUNTIFS(TableFA21323[Project],TableFA21323[[#This Row],[Project]])</f>
        <v>3</v>
      </c>
      <c r="K122" s="45"/>
    </row>
    <row r="123" spans="1:11" s="3" customFormat="1" x14ac:dyDescent="0.2">
      <c r="B123" s="60"/>
      <c r="C123"/>
      <c r="D123"/>
      <c r="E123" s="1"/>
      <c r="F123" s="1"/>
      <c r="G123" s="1"/>
      <c r="H123" s="1"/>
      <c r="I123" s="1"/>
      <c r="J123" s="1"/>
      <c r="K123" s="1"/>
    </row>
    <row r="124" spans="1:11" s="41" customFormat="1" x14ac:dyDescent="0.2">
      <c r="A124" s="80">
        <v>22</v>
      </c>
      <c r="B124" s="41" t="s">
        <v>259</v>
      </c>
      <c r="C124" s="41" t="s">
        <v>260</v>
      </c>
      <c r="D124" s="41" t="s">
        <v>31</v>
      </c>
      <c r="E124" s="45" t="s">
        <v>258</v>
      </c>
      <c r="F124" s="45" t="str">
        <f>_xlfn.XLOOKUP(TableFA21323[[#This Row],[Project]],Projects[Project],Projects[Full Name],"")</f>
        <v>Paola Montejo</v>
      </c>
      <c r="G124" s="45" t="str">
        <f>_xlfn.XLOOKUP(TableFA21323[[#This Row],[Project]],Projects[Project],Projects[Work Email (no gmail/hotmail/etc.)],"")</f>
        <v>pmont079@fiu.edu</v>
      </c>
      <c r="H124" s="45" t="str">
        <f>_xlfn.XLOOKUP(TableFA21323[[#This Row],[Project]],Projects[Project],Projects[Affiliation (Company/University/Place of Work)],"")</f>
        <v>Florida International University</v>
      </c>
      <c r="I124" s="44">
        <f>COUNTIFS(TableFA21323[Project],TableFA21323[[#This Row],[Project]],TableFA21323[Program],TableFA21323[[#This Row],[Program]])</f>
        <v>5</v>
      </c>
      <c r="J124" s="44">
        <f>COUNTIFS(TableFA21323[Project],TableFA21323[[#This Row],[Project]])</f>
        <v>5</v>
      </c>
      <c r="K124" s="45"/>
    </row>
    <row r="125" spans="1:11" s="41" customFormat="1" x14ac:dyDescent="0.2">
      <c r="A125" s="80"/>
      <c r="B125" s="41" t="s">
        <v>261</v>
      </c>
      <c r="C125" s="41" t="s">
        <v>262</v>
      </c>
      <c r="D125" s="41" t="s">
        <v>31</v>
      </c>
      <c r="E125" s="45" t="s">
        <v>258</v>
      </c>
      <c r="F125" s="45" t="str">
        <f>_xlfn.XLOOKUP(TableFA21323[[#This Row],[Project]],Projects[Project],Projects[Full Name],"")</f>
        <v>Paola Montejo</v>
      </c>
      <c r="G125" s="45" t="str">
        <f>_xlfn.XLOOKUP(TableFA21323[[#This Row],[Project]],Projects[Project],Projects[Work Email (no gmail/hotmail/etc.)],"")</f>
        <v>pmont079@fiu.edu</v>
      </c>
      <c r="H125" s="45" t="str">
        <f>_xlfn.XLOOKUP(TableFA21323[[#This Row],[Project]],Projects[Project],Projects[Affiliation (Company/University/Place of Work)],"")</f>
        <v>Florida International University</v>
      </c>
      <c r="I125" s="44">
        <f>COUNTIFS(TableFA21323[Project],TableFA21323[[#This Row],[Project]],TableFA21323[Program],TableFA21323[[#This Row],[Program]])</f>
        <v>5</v>
      </c>
      <c r="J125" s="44">
        <f>COUNTIFS(TableFA21323[Project],TableFA21323[[#This Row],[Project]])</f>
        <v>5</v>
      </c>
      <c r="K125" s="45"/>
    </row>
    <row r="126" spans="1:11" s="41" customFormat="1" x14ac:dyDescent="0.2">
      <c r="A126" s="80"/>
      <c r="B126" s="43" t="s">
        <v>256</v>
      </c>
      <c r="C126" s="43" t="s">
        <v>257</v>
      </c>
      <c r="D126" s="43" t="s">
        <v>31</v>
      </c>
      <c r="E126" s="44" t="s">
        <v>258</v>
      </c>
      <c r="F126" s="44" t="str">
        <f>_xlfn.XLOOKUP(TableFA21323[[#This Row],[Project]],Projects[Project],Projects[Full Name],"")</f>
        <v>Paola Montejo</v>
      </c>
      <c r="G126" s="44" t="str">
        <f>_xlfn.XLOOKUP(TableFA21323[[#This Row],[Project]],Projects[Project],Projects[Work Email (no gmail/hotmail/etc.)],"")</f>
        <v>pmont079@fiu.edu</v>
      </c>
      <c r="H126" s="44" t="str">
        <f>_xlfn.XLOOKUP(TableFA21323[[#This Row],[Project]],Projects[Project],Projects[Affiliation (Company/University/Place of Work)],"")</f>
        <v>Florida International University</v>
      </c>
      <c r="I126" s="44">
        <f>COUNTIFS(TableFA21323[Project],TableFA21323[[#This Row],[Project]],TableFA21323[Program],TableFA21323[[#This Row],[Program]])</f>
        <v>5</v>
      </c>
      <c r="J126" s="44">
        <f>COUNTIFS(TableFA21323[Project],TableFA21323[[#This Row],[Project]])</f>
        <v>5</v>
      </c>
      <c r="K126" s="45"/>
    </row>
    <row r="127" spans="1:11" s="41" customFormat="1" x14ac:dyDescent="0.2">
      <c r="A127" s="80"/>
      <c r="B127" s="41" t="s">
        <v>263</v>
      </c>
      <c r="C127" s="41" t="s">
        <v>264</v>
      </c>
      <c r="D127" s="41" t="s">
        <v>31</v>
      </c>
      <c r="E127" s="45" t="s">
        <v>258</v>
      </c>
      <c r="F127" s="45" t="str">
        <f>_xlfn.XLOOKUP(TableFA21323[[#This Row],[Project]],Projects[Project],Projects[Full Name],"")</f>
        <v>Paola Montejo</v>
      </c>
      <c r="G127" s="45" t="str">
        <f>_xlfn.XLOOKUP(TableFA21323[[#This Row],[Project]],Projects[Project],Projects[Work Email (no gmail/hotmail/etc.)],"")</f>
        <v>pmont079@fiu.edu</v>
      </c>
      <c r="H127" s="45" t="str">
        <f>_xlfn.XLOOKUP(TableFA21323[[#This Row],[Project]],Projects[Project],Projects[Affiliation (Company/University/Place of Work)],"")</f>
        <v>Florida International University</v>
      </c>
      <c r="I127" s="44">
        <f>COUNTIFS(TableFA21323[Project],TableFA21323[[#This Row],[Project]],TableFA21323[Program],TableFA21323[[#This Row],[Program]])</f>
        <v>5</v>
      </c>
      <c r="J127" s="44">
        <f>COUNTIFS(TableFA21323[Project],TableFA21323[[#This Row],[Project]])</f>
        <v>5</v>
      </c>
      <c r="K127" s="45"/>
    </row>
    <row r="128" spans="1:11" s="41" customFormat="1" x14ac:dyDescent="0.2">
      <c r="A128" s="80"/>
      <c r="B128" s="41" t="s">
        <v>265</v>
      </c>
      <c r="C128" s="41" t="s">
        <v>266</v>
      </c>
      <c r="D128" s="41" t="s">
        <v>31</v>
      </c>
      <c r="E128" s="45" t="s">
        <v>258</v>
      </c>
      <c r="F128" s="45" t="str">
        <f>_xlfn.XLOOKUP(TableFA21323[[#This Row],[Project]],Projects[Project],Projects[Full Name],"")</f>
        <v>Paola Montejo</v>
      </c>
      <c r="G128" s="45" t="str">
        <f>_xlfn.XLOOKUP(TableFA21323[[#This Row],[Project]],Projects[Project],Projects[Work Email (no gmail/hotmail/etc.)],"")</f>
        <v>pmont079@fiu.edu</v>
      </c>
      <c r="H128" s="45" t="str">
        <f>_xlfn.XLOOKUP(TableFA21323[[#This Row],[Project]],Projects[Project],Projects[Affiliation (Company/University/Place of Work)],"")</f>
        <v>Florida International University</v>
      </c>
      <c r="I128" s="44">
        <f>COUNTIFS(TableFA21323[Project],TableFA21323[[#This Row],[Project]],TableFA21323[Program],TableFA21323[[#This Row],[Program]])</f>
        <v>5</v>
      </c>
      <c r="J128" s="44">
        <f>COUNTIFS(TableFA21323[Project],TableFA21323[[#This Row],[Project]])</f>
        <v>5</v>
      </c>
      <c r="K128" s="45"/>
    </row>
    <row r="129" spans="1:11" x14ac:dyDescent="0.2">
      <c r="E129" s="1"/>
      <c r="F129" s="1"/>
      <c r="G129" s="1"/>
      <c r="H129" s="1"/>
      <c r="I129" s="1"/>
      <c r="J129" s="1"/>
      <c r="K129" s="1"/>
    </row>
    <row r="130" spans="1:11" s="41" customFormat="1" x14ac:dyDescent="0.2">
      <c r="A130" s="80">
        <v>23</v>
      </c>
      <c r="B130" s="41" t="s">
        <v>270</v>
      </c>
      <c r="C130" s="41" t="s">
        <v>271</v>
      </c>
      <c r="D130" s="41" t="s">
        <v>31</v>
      </c>
      <c r="E130" s="45" t="s">
        <v>269</v>
      </c>
      <c r="F130" s="45" t="str">
        <f>_xlfn.XLOOKUP(TableFA21323[[#This Row],[Project]],Projects[Project],Projects[Full Name],"")</f>
        <v>Josue Quinonez</v>
      </c>
      <c r="G130" s="45" t="str">
        <f>_xlfn.XLOOKUP(TableFA21323[[#This Row],[Project]],Projects[Project],Projects[Work Email (no gmail/hotmail/etc.)],"")</f>
        <v>jquin229@fiu.edu</v>
      </c>
      <c r="H130" s="45" t="str">
        <f>_xlfn.XLOOKUP(TableFA21323[[#This Row],[Project]],Projects[Project],Projects[Affiliation (Company/University/Place of Work)],"")</f>
        <v>Florida International University</v>
      </c>
      <c r="I130" s="44">
        <f>COUNTIFS(TableFA21323[Project],TableFA21323[[#This Row],[Project]],TableFA21323[Program],TableFA21323[[#This Row],[Program]])</f>
        <v>5</v>
      </c>
      <c r="J130" s="44">
        <f>COUNTIFS(TableFA21323[Project],TableFA21323[[#This Row],[Project]])</f>
        <v>5</v>
      </c>
      <c r="K130" s="45"/>
    </row>
    <row r="131" spans="1:11" s="41" customFormat="1" x14ac:dyDescent="0.2">
      <c r="A131" s="80"/>
      <c r="B131" s="41" t="s">
        <v>272</v>
      </c>
      <c r="C131" s="41" t="s">
        <v>273</v>
      </c>
      <c r="D131" s="41" t="s">
        <v>31</v>
      </c>
      <c r="E131" s="45" t="s">
        <v>269</v>
      </c>
      <c r="F131" s="45" t="str">
        <f>_xlfn.XLOOKUP(TableFA21323[[#This Row],[Project]],Projects[Project],Projects[Full Name],"")</f>
        <v>Josue Quinonez</v>
      </c>
      <c r="G131" s="45" t="str">
        <f>_xlfn.XLOOKUP(TableFA21323[[#This Row],[Project]],Projects[Project],Projects[Work Email (no gmail/hotmail/etc.)],"")</f>
        <v>jquin229@fiu.edu</v>
      </c>
      <c r="H131" s="45" t="str">
        <f>_xlfn.XLOOKUP(TableFA21323[[#This Row],[Project]],Projects[Project],Projects[Affiliation (Company/University/Place of Work)],"")</f>
        <v>Florida International University</v>
      </c>
      <c r="I131" s="44">
        <f>COUNTIFS(TableFA21323[Project],TableFA21323[[#This Row],[Project]],TableFA21323[Program],TableFA21323[[#This Row],[Program]])</f>
        <v>5</v>
      </c>
      <c r="J131" s="44">
        <f>COUNTIFS(TableFA21323[Project],TableFA21323[[#This Row],[Project]])</f>
        <v>5</v>
      </c>
      <c r="K131" s="45"/>
    </row>
    <row r="132" spans="1:11" s="41" customFormat="1" x14ac:dyDescent="0.2">
      <c r="A132" s="80"/>
      <c r="B132" s="41" t="s">
        <v>274</v>
      </c>
      <c r="C132" s="41" t="s">
        <v>275</v>
      </c>
      <c r="D132" s="41" t="s">
        <v>31</v>
      </c>
      <c r="E132" s="45" t="s">
        <v>269</v>
      </c>
      <c r="F132" s="45" t="str">
        <f>_xlfn.XLOOKUP(TableFA21323[[#This Row],[Project]],Projects[Project],Projects[Full Name],"")</f>
        <v>Josue Quinonez</v>
      </c>
      <c r="G132" s="45" t="str">
        <f>_xlfn.XLOOKUP(TableFA21323[[#This Row],[Project]],Projects[Project],Projects[Work Email (no gmail/hotmail/etc.)],"")</f>
        <v>jquin229@fiu.edu</v>
      </c>
      <c r="H132" s="45" t="str">
        <f>_xlfn.XLOOKUP(TableFA21323[[#This Row],[Project]],Projects[Project],Projects[Affiliation (Company/University/Place of Work)],"")</f>
        <v>Florida International University</v>
      </c>
      <c r="I132" s="44">
        <f>COUNTIFS(TableFA21323[Project],TableFA21323[[#This Row],[Project]],TableFA21323[Program],TableFA21323[[#This Row],[Program]])</f>
        <v>5</v>
      </c>
      <c r="J132" s="44">
        <f>COUNTIFS(TableFA21323[Project],TableFA21323[[#This Row],[Project]])</f>
        <v>5</v>
      </c>
      <c r="K132" s="45"/>
    </row>
    <row r="133" spans="1:11" s="41" customFormat="1" x14ac:dyDescent="0.2">
      <c r="A133" s="80"/>
      <c r="B133" s="41" t="s">
        <v>276</v>
      </c>
      <c r="C133" s="41" t="s">
        <v>277</v>
      </c>
      <c r="D133" s="41" t="s">
        <v>31</v>
      </c>
      <c r="E133" s="45" t="s">
        <v>269</v>
      </c>
      <c r="F133" s="45" t="str">
        <f>_xlfn.XLOOKUP(TableFA21323[[#This Row],[Project]],Projects[Project],Projects[Full Name],"")</f>
        <v>Josue Quinonez</v>
      </c>
      <c r="G133" s="45" t="str">
        <f>_xlfn.XLOOKUP(TableFA21323[[#This Row],[Project]],Projects[Project],Projects[Work Email (no gmail/hotmail/etc.)],"")</f>
        <v>jquin229@fiu.edu</v>
      </c>
      <c r="H133" s="45" t="str">
        <f>_xlfn.XLOOKUP(TableFA21323[[#This Row],[Project]],Projects[Project],Projects[Affiliation (Company/University/Place of Work)],"")</f>
        <v>Florida International University</v>
      </c>
      <c r="I133" s="44">
        <f>COUNTIFS(TableFA21323[Project],TableFA21323[[#This Row],[Project]],TableFA21323[Program],TableFA21323[[#This Row],[Program]])</f>
        <v>5</v>
      </c>
      <c r="J133" s="44">
        <f>COUNTIFS(TableFA21323[Project],TableFA21323[[#This Row],[Project]])</f>
        <v>5</v>
      </c>
      <c r="K133" s="45"/>
    </row>
    <row r="134" spans="1:11" s="41" customFormat="1" x14ac:dyDescent="0.2">
      <c r="A134" s="80"/>
      <c r="B134" s="41" t="s">
        <v>267</v>
      </c>
      <c r="C134" s="43" t="s">
        <v>268</v>
      </c>
      <c r="D134" s="43" t="s">
        <v>31</v>
      </c>
      <c r="E134" s="52" t="s">
        <v>269</v>
      </c>
      <c r="F134" s="45" t="str">
        <f>_xlfn.XLOOKUP(TableFA21323[[#This Row],[Project]],Projects[Project],Projects[Full Name],"")</f>
        <v>Josue Quinonez</v>
      </c>
      <c r="G134" s="45" t="str">
        <f>_xlfn.XLOOKUP(TableFA21323[[#This Row],[Project]],Projects[Project],Projects[Work Email (no gmail/hotmail/etc.)],"")</f>
        <v>jquin229@fiu.edu</v>
      </c>
      <c r="H134" s="45" t="str">
        <f>_xlfn.XLOOKUP(TableFA21323[[#This Row],[Project]],Projects[Project],Projects[Affiliation (Company/University/Place of Work)],"")</f>
        <v>Florida International University</v>
      </c>
      <c r="I134" s="44">
        <f>COUNTIFS(TableFA21323[Project],TableFA21323[[#This Row],[Project]],TableFA21323[Program],TableFA21323[[#This Row],[Program]])</f>
        <v>5</v>
      </c>
      <c r="J134" s="44">
        <f>COUNTIFS(TableFA21323[Project],TableFA21323[[#This Row],[Project]])</f>
        <v>5</v>
      </c>
      <c r="K134" s="45"/>
    </row>
    <row r="135" spans="1:11" x14ac:dyDescent="0.2">
      <c r="E135" s="1"/>
      <c r="F135" s="1"/>
      <c r="G135" s="1"/>
      <c r="H135" s="1"/>
      <c r="I135" s="1"/>
      <c r="J135" s="1"/>
      <c r="K135" s="1"/>
    </row>
    <row r="136" spans="1:11" s="41" customFormat="1" x14ac:dyDescent="0.2">
      <c r="A136" s="80">
        <v>24</v>
      </c>
      <c r="B136" s="41" t="s">
        <v>281</v>
      </c>
      <c r="C136" s="41" t="s">
        <v>282</v>
      </c>
      <c r="D136" s="41" t="s">
        <v>31</v>
      </c>
      <c r="E136" s="45" t="s">
        <v>280</v>
      </c>
      <c r="F136" s="45" t="str">
        <f>_xlfn.XLOOKUP(TableFA21323[[#This Row],[Project]],Projects[Project],Projects[Full Name],"")</f>
        <v>Orkhan Fataliyev</v>
      </c>
      <c r="G136" s="45" t="str">
        <f>_xlfn.XLOOKUP(TableFA21323[[#This Row],[Project]],Projects[Project],Projects[Work Email (no gmail/hotmail/etc.)],"")</f>
        <v>ofata002@fiu.edu</v>
      </c>
      <c r="H136" s="45" t="str">
        <f>_xlfn.XLOOKUP(TableFA21323[[#This Row],[Project]],Projects[Project],Projects[Affiliation (Company/University/Place of Work)],"")</f>
        <v>Florida International University</v>
      </c>
      <c r="I136" s="44">
        <f>COUNTIFS(TableFA21323[Project],TableFA21323[[#This Row],[Project]],TableFA21323[Program],TableFA21323[[#This Row],[Program]])</f>
        <v>5</v>
      </c>
      <c r="J136" s="44">
        <f>COUNTIFS(TableFA21323[Project],TableFA21323[[#This Row],[Project]])</f>
        <v>5</v>
      </c>
      <c r="K136" s="45"/>
    </row>
    <row r="137" spans="1:11" s="48" customFormat="1" x14ac:dyDescent="0.2">
      <c r="A137" s="80"/>
      <c r="B137" s="43" t="s">
        <v>278</v>
      </c>
      <c r="C137" s="43" t="s">
        <v>279</v>
      </c>
      <c r="D137" s="43" t="s">
        <v>31</v>
      </c>
      <c r="E137" s="44" t="s">
        <v>280</v>
      </c>
      <c r="F137" s="45" t="str">
        <f>_xlfn.XLOOKUP(TableFA21323[[#This Row],[Project]],Projects[Project],Projects[Full Name],"")</f>
        <v>Orkhan Fataliyev</v>
      </c>
      <c r="G137" s="45" t="str">
        <f>_xlfn.XLOOKUP(TableFA21323[[#This Row],[Project]],Projects[Project],Projects[Work Email (no gmail/hotmail/etc.)],"")</f>
        <v>ofata002@fiu.edu</v>
      </c>
      <c r="H137" s="45" t="str">
        <f>_xlfn.XLOOKUP(TableFA21323[[#This Row],[Project]],Projects[Project],Projects[Affiliation (Company/University/Place of Work)],"")</f>
        <v>Florida International University</v>
      </c>
      <c r="I137" s="44">
        <f>COUNTIFS(TableFA21323[Project],TableFA21323[[#This Row],[Project]],TableFA21323[Program],TableFA21323[[#This Row],[Program]])</f>
        <v>5</v>
      </c>
      <c r="J137" s="44">
        <f>COUNTIFS(TableFA21323[Project],TableFA21323[[#This Row],[Project]])</f>
        <v>5</v>
      </c>
      <c r="K137" s="45"/>
    </row>
    <row r="138" spans="1:11" s="41" customFormat="1" x14ac:dyDescent="0.2">
      <c r="A138" s="80"/>
      <c r="B138" s="41" t="s">
        <v>283</v>
      </c>
      <c r="C138" s="41" t="s">
        <v>284</v>
      </c>
      <c r="D138" s="41" t="s">
        <v>31</v>
      </c>
      <c r="E138" s="45" t="s">
        <v>280</v>
      </c>
      <c r="F138" s="45" t="str">
        <f>_xlfn.XLOOKUP(TableFA21323[[#This Row],[Project]],Projects[Project],Projects[Full Name],"")</f>
        <v>Orkhan Fataliyev</v>
      </c>
      <c r="G138" s="45" t="str">
        <f>_xlfn.XLOOKUP(TableFA21323[[#This Row],[Project]],Projects[Project],Projects[Work Email (no gmail/hotmail/etc.)],"")</f>
        <v>ofata002@fiu.edu</v>
      </c>
      <c r="H138" s="45" t="str">
        <f>_xlfn.XLOOKUP(TableFA21323[[#This Row],[Project]],Projects[Project],Projects[Affiliation (Company/University/Place of Work)],"")</f>
        <v>Florida International University</v>
      </c>
      <c r="I138" s="44">
        <f>COUNTIFS(TableFA21323[Project],TableFA21323[[#This Row],[Project]],TableFA21323[Program],TableFA21323[[#This Row],[Program]])</f>
        <v>5</v>
      </c>
      <c r="J138" s="44">
        <f>COUNTIFS(TableFA21323[Project],TableFA21323[[#This Row],[Project]])</f>
        <v>5</v>
      </c>
      <c r="K138" s="45"/>
    </row>
    <row r="139" spans="1:11" s="41" customFormat="1" x14ac:dyDescent="0.2">
      <c r="A139" s="80"/>
      <c r="B139" s="41" t="s">
        <v>285</v>
      </c>
      <c r="C139" s="41" t="s">
        <v>286</v>
      </c>
      <c r="D139" s="41" t="s">
        <v>31</v>
      </c>
      <c r="E139" s="45" t="s">
        <v>280</v>
      </c>
      <c r="F139" s="45" t="str">
        <f>_xlfn.XLOOKUP(TableFA21323[[#This Row],[Project]],Projects[Project],Projects[Full Name],"")</f>
        <v>Orkhan Fataliyev</v>
      </c>
      <c r="G139" s="45" t="str">
        <f>_xlfn.XLOOKUP(TableFA21323[[#This Row],[Project]],Projects[Project],Projects[Work Email (no gmail/hotmail/etc.)],"")</f>
        <v>ofata002@fiu.edu</v>
      </c>
      <c r="H139" s="45" t="str">
        <f>_xlfn.XLOOKUP(TableFA21323[[#This Row],[Project]],Projects[Project],Projects[Affiliation (Company/University/Place of Work)],"")</f>
        <v>Florida International University</v>
      </c>
      <c r="I139" s="44">
        <f>COUNTIFS(TableFA21323[Project],TableFA21323[[#This Row],[Project]],TableFA21323[Program],TableFA21323[[#This Row],[Program]])</f>
        <v>5</v>
      </c>
      <c r="J139" s="44">
        <f>COUNTIFS(TableFA21323[Project],TableFA21323[[#This Row],[Project]])</f>
        <v>5</v>
      </c>
      <c r="K139" s="45"/>
    </row>
    <row r="140" spans="1:11" s="41" customFormat="1" x14ac:dyDescent="0.2">
      <c r="A140" s="80"/>
      <c r="B140" s="41" t="s">
        <v>287</v>
      </c>
      <c r="C140" s="41" t="s">
        <v>288</v>
      </c>
      <c r="D140" s="41" t="s">
        <v>31</v>
      </c>
      <c r="E140" s="45" t="s">
        <v>280</v>
      </c>
      <c r="F140" s="45" t="str">
        <f>_xlfn.XLOOKUP(TableFA21323[[#This Row],[Project]],Projects[Project],Projects[Full Name],"")</f>
        <v>Orkhan Fataliyev</v>
      </c>
      <c r="G140" s="45" t="str">
        <f>_xlfn.XLOOKUP(TableFA21323[[#This Row],[Project]],Projects[Project],Projects[Work Email (no gmail/hotmail/etc.)],"")</f>
        <v>ofata002@fiu.edu</v>
      </c>
      <c r="H140" s="45" t="str">
        <f>_xlfn.XLOOKUP(TableFA21323[[#This Row],[Project]],Projects[Project],Projects[Affiliation (Company/University/Place of Work)],"")</f>
        <v>Florida International University</v>
      </c>
      <c r="I140" s="44">
        <f>COUNTIFS(TableFA21323[Project],TableFA21323[[#This Row],[Project]],TableFA21323[Program],TableFA21323[[#This Row],[Program]])</f>
        <v>5</v>
      </c>
      <c r="J140" s="44">
        <f>COUNTIFS(TableFA21323[Project],TableFA21323[[#This Row],[Project]])</f>
        <v>5</v>
      </c>
      <c r="K140" s="45"/>
    </row>
    <row r="141" spans="1:11" x14ac:dyDescent="0.2">
      <c r="E141" s="1"/>
      <c r="F141" s="1"/>
      <c r="G141" s="1"/>
      <c r="H141" s="1"/>
      <c r="I141" s="1"/>
      <c r="J141" s="1"/>
      <c r="K141" s="1"/>
    </row>
    <row r="142" spans="1:11" s="48" customFormat="1" x14ac:dyDescent="0.2">
      <c r="A142" s="81">
        <v>25</v>
      </c>
      <c r="B142" s="41" t="s">
        <v>292</v>
      </c>
      <c r="C142" s="41" t="s">
        <v>293</v>
      </c>
      <c r="D142" s="41" t="s">
        <v>31</v>
      </c>
      <c r="E142" s="45" t="s">
        <v>291</v>
      </c>
      <c r="F142" s="45" t="str">
        <f>_xlfn.XLOOKUP(TableFA21323[[#This Row],[Project]],Projects[Project],Projects[Full Name],"")</f>
        <v>Alessandra Ortega</v>
      </c>
      <c r="G142" s="45" t="str">
        <f>_xlfn.XLOOKUP(TableFA21323[[#This Row],[Project]],Projects[Project],Projects[Work Email (no gmail/hotmail/etc.)],"")</f>
        <v>aorte138@fiu.edu</v>
      </c>
      <c r="H142" s="45" t="str">
        <f>_xlfn.XLOOKUP(TableFA21323[[#This Row],[Project]],Projects[Project],Projects[Affiliation (Company/University/Place of Work)],"")</f>
        <v>Florida International University</v>
      </c>
      <c r="I142" s="44">
        <f>COUNTIFS(TableFA21323[Project],TableFA21323[[#This Row],[Project]],TableFA21323[Program],TableFA21323[[#This Row],[Program]])</f>
        <v>5</v>
      </c>
      <c r="J142" s="44">
        <f>COUNTIFS(TableFA21323[Project],TableFA21323[[#This Row],[Project]])</f>
        <v>5</v>
      </c>
      <c r="K142" s="45"/>
    </row>
    <row r="143" spans="1:11" s="41" customFormat="1" x14ac:dyDescent="0.2">
      <c r="A143" s="81"/>
      <c r="B143" s="41" t="s">
        <v>294</v>
      </c>
      <c r="C143" s="41" t="s">
        <v>295</v>
      </c>
      <c r="D143" s="41" t="s">
        <v>31</v>
      </c>
      <c r="E143" s="45" t="s">
        <v>291</v>
      </c>
      <c r="F143" s="45" t="str">
        <f>_xlfn.XLOOKUP(TableFA21323[[#This Row],[Project]],Projects[Project],Projects[Full Name],"")</f>
        <v>Alessandra Ortega</v>
      </c>
      <c r="G143" s="45" t="str">
        <f>_xlfn.XLOOKUP(TableFA21323[[#This Row],[Project]],Projects[Project],Projects[Work Email (no gmail/hotmail/etc.)],"")</f>
        <v>aorte138@fiu.edu</v>
      </c>
      <c r="H143" s="45" t="str">
        <f>_xlfn.XLOOKUP(TableFA21323[[#This Row],[Project]],Projects[Project],Projects[Affiliation (Company/University/Place of Work)],"")</f>
        <v>Florida International University</v>
      </c>
      <c r="I143" s="44">
        <f>COUNTIFS(TableFA21323[Project],TableFA21323[[#This Row],[Project]],TableFA21323[Program],TableFA21323[[#This Row],[Program]])</f>
        <v>5</v>
      </c>
      <c r="J143" s="44">
        <f>COUNTIFS(TableFA21323[Project],TableFA21323[[#This Row],[Project]])</f>
        <v>5</v>
      </c>
      <c r="K143" s="45"/>
    </row>
    <row r="144" spans="1:11" s="41" customFormat="1" x14ac:dyDescent="0.2">
      <c r="A144" s="81"/>
      <c r="B144" s="43" t="s">
        <v>289</v>
      </c>
      <c r="C144" s="43" t="s">
        <v>290</v>
      </c>
      <c r="D144" s="43" t="s">
        <v>31</v>
      </c>
      <c r="E144" s="44" t="s">
        <v>291</v>
      </c>
      <c r="F144" s="45" t="str">
        <f>_xlfn.XLOOKUP(TableFA21323[[#This Row],[Project]],Projects[Project],Projects[Full Name],"")</f>
        <v>Alessandra Ortega</v>
      </c>
      <c r="G144" s="45" t="str">
        <f>_xlfn.XLOOKUP(TableFA21323[[#This Row],[Project]],Projects[Project],Projects[Work Email (no gmail/hotmail/etc.)],"")</f>
        <v>aorte138@fiu.edu</v>
      </c>
      <c r="H144" s="45" t="str">
        <f>_xlfn.XLOOKUP(TableFA21323[[#This Row],[Project]],Projects[Project],Projects[Affiliation (Company/University/Place of Work)],"")</f>
        <v>Florida International University</v>
      </c>
      <c r="I144" s="44">
        <f>COUNTIFS(TableFA21323[Project],TableFA21323[[#This Row],[Project]],TableFA21323[Program],TableFA21323[[#This Row],[Program]])</f>
        <v>5</v>
      </c>
      <c r="J144" s="44">
        <f>COUNTIFS(TableFA21323[Project],TableFA21323[[#This Row],[Project]])</f>
        <v>5</v>
      </c>
      <c r="K144" s="45"/>
    </row>
    <row r="145" spans="1:11" s="41" customFormat="1" x14ac:dyDescent="0.2">
      <c r="A145" s="81"/>
      <c r="B145" s="41" t="s">
        <v>296</v>
      </c>
      <c r="C145" s="41" t="s">
        <v>297</v>
      </c>
      <c r="D145" s="41" t="s">
        <v>31</v>
      </c>
      <c r="E145" s="53" t="s">
        <v>291</v>
      </c>
      <c r="F145" s="45" t="str">
        <f>_xlfn.XLOOKUP(TableFA21323[[#This Row],[Project]],Projects[Project],Projects[Full Name],"")</f>
        <v>Alessandra Ortega</v>
      </c>
      <c r="G145" s="45" t="str">
        <f>_xlfn.XLOOKUP(TableFA21323[[#This Row],[Project]],Projects[Project],Projects[Work Email (no gmail/hotmail/etc.)],"")</f>
        <v>aorte138@fiu.edu</v>
      </c>
      <c r="H145" s="45" t="str">
        <f>_xlfn.XLOOKUP(TableFA21323[[#This Row],[Project]],Projects[Project],Projects[Affiliation (Company/University/Place of Work)],"")</f>
        <v>Florida International University</v>
      </c>
      <c r="I145" s="44">
        <f>COUNTIFS(TableFA21323[Project],TableFA21323[[#This Row],[Project]],TableFA21323[Program],TableFA21323[[#This Row],[Program]])</f>
        <v>5</v>
      </c>
      <c r="J145" s="44">
        <f>COUNTIFS(TableFA21323[Project],TableFA21323[[#This Row],[Project]])</f>
        <v>5</v>
      </c>
      <c r="K145" s="45"/>
    </row>
    <row r="146" spans="1:11" s="72" customFormat="1" x14ac:dyDescent="0.2">
      <c r="A146" s="81"/>
      <c r="B146" s="41" t="s">
        <v>298</v>
      </c>
      <c r="C146" s="41" t="s">
        <v>299</v>
      </c>
      <c r="D146" s="41" t="s">
        <v>31</v>
      </c>
      <c r="E146" s="45" t="s">
        <v>291</v>
      </c>
      <c r="F146" s="45" t="str">
        <f>_xlfn.XLOOKUP(TableFA21323[[#This Row],[Project]],Projects[Project],Projects[Full Name],"")</f>
        <v>Alessandra Ortega</v>
      </c>
      <c r="G146" s="45" t="str">
        <f>_xlfn.XLOOKUP(TableFA21323[[#This Row],[Project]],Projects[Project],Projects[Work Email (no gmail/hotmail/etc.)],"")</f>
        <v>aorte138@fiu.edu</v>
      </c>
      <c r="H146" s="45" t="str">
        <f>_xlfn.XLOOKUP(TableFA21323[[#This Row],[Project]],Projects[Project],Projects[Affiliation (Company/University/Place of Work)],"")</f>
        <v>Florida International University</v>
      </c>
      <c r="I146" s="44">
        <f>COUNTIFS(TableFA21323[Project],TableFA21323[[#This Row],[Project]],TableFA21323[Program],TableFA21323[[#This Row],[Program]])</f>
        <v>5</v>
      </c>
      <c r="J146" s="44">
        <f>COUNTIFS(TableFA21323[Project],TableFA21323[[#This Row],[Project]])</f>
        <v>5</v>
      </c>
      <c r="K146" s="45"/>
    </row>
    <row r="147" spans="1:11" s="4" customFormat="1" x14ac:dyDescent="0.2">
      <c r="B147"/>
      <c r="C147"/>
      <c r="D147"/>
      <c r="E147" s="1"/>
      <c r="F147" s="1"/>
      <c r="G147" s="1"/>
      <c r="H147" s="1"/>
      <c r="I147" s="1"/>
      <c r="J147" s="1"/>
      <c r="K147" s="1"/>
    </row>
    <row r="148" spans="1:11" s="41" customFormat="1" x14ac:dyDescent="0.2">
      <c r="A148" s="80">
        <v>26</v>
      </c>
      <c r="B148" s="74" t="s">
        <v>300</v>
      </c>
      <c r="C148" s="43" t="s">
        <v>301</v>
      </c>
      <c r="D148" s="43" t="s">
        <v>31</v>
      </c>
      <c r="E148" s="44" t="s">
        <v>302</v>
      </c>
      <c r="F148" s="44" t="str">
        <f>_xlfn.XLOOKUP(TableFA21323[[#This Row],[Project]],Projects[Project],Projects[Full Name],"")</f>
        <v>Van Duc Nguyen</v>
      </c>
      <c r="G148" s="44" t="str">
        <f>_xlfn.XLOOKUP(TableFA21323[[#This Row],[Project]],Projects[Project],Projects[Work Email (no gmail/hotmail/etc.)],"")</f>
        <v>vnguy054@fiu.edu</v>
      </c>
      <c r="H148" s="44" t="str">
        <f>_xlfn.XLOOKUP(TableFA21323[[#This Row],[Project]],Projects[Project],Projects[Affiliation (Company/University/Place of Work)],"")</f>
        <v>Florida International University</v>
      </c>
      <c r="I148" s="44">
        <f>COUNTIFS(TableFA21323[Project],TableFA21323[[#This Row],[Project]],TableFA21323[Program],TableFA21323[[#This Row],[Program]])</f>
        <v>4</v>
      </c>
      <c r="J148" s="44">
        <f>COUNTIFS(TableFA21323[Project],TableFA21323[[#This Row],[Project]])</f>
        <v>4</v>
      </c>
      <c r="K148" s="45"/>
    </row>
    <row r="149" spans="1:11" s="41" customFormat="1" x14ac:dyDescent="0.2">
      <c r="A149" s="80"/>
      <c r="B149" s="41" t="s">
        <v>303</v>
      </c>
      <c r="C149" s="41" t="s">
        <v>304</v>
      </c>
      <c r="D149" s="41" t="s">
        <v>31</v>
      </c>
      <c r="E149" s="45" t="s">
        <v>302</v>
      </c>
      <c r="F149" s="45" t="str">
        <f>_xlfn.XLOOKUP(TableFA21323[[#This Row],[Project]],Projects[Project],Projects[Full Name],"")</f>
        <v>Van Duc Nguyen</v>
      </c>
      <c r="G149" s="45" t="str">
        <f>_xlfn.XLOOKUP(TableFA21323[[#This Row],[Project]],Projects[Project],Projects[Work Email (no gmail/hotmail/etc.)],"")</f>
        <v>vnguy054@fiu.edu</v>
      </c>
      <c r="H149" s="45" t="str">
        <f>_xlfn.XLOOKUP(TableFA21323[[#This Row],[Project]],Projects[Project],Projects[Affiliation (Company/University/Place of Work)],"")</f>
        <v>Florida International University</v>
      </c>
      <c r="I149" s="44">
        <f>COUNTIFS(TableFA21323[Project],TableFA21323[[#This Row],[Project]],TableFA21323[Program],TableFA21323[[#This Row],[Program]])</f>
        <v>4</v>
      </c>
      <c r="J149" s="44">
        <f>COUNTIFS(TableFA21323[Project],TableFA21323[[#This Row],[Project]])</f>
        <v>4</v>
      </c>
      <c r="K149" s="45"/>
    </row>
    <row r="150" spans="1:11" s="48" customFormat="1" x14ac:dyDescent="0.2">
      <c r="A150" s="80"/>
      <c r="B150" s="41" t="s">
        <v>305</v>
      </c>
      <c r="C150" s="41" t="s">
        <v>306</v>
      </c>
      <c r="D150" s="41" t="s">
        <v>31</v>
      </c>
      <c r="E150" s="45" t="s">
        <v>302</v>
      </c>
      <c r="F150" s="45" t="str">
        <f>_xlfn.XLOOKUP(TableFA21323[[#This Row],[Project]],Projects[Project],Projects[Full Name],"")</f>
        <v>Van Duc Nguyen</v>
      </c>
      <c r="G150" s="45" t="str">
        <f>_xlfn.XLOOKUP(TableFA21323[[#This Row],[Project]],Projects[Project],Projects[Work Email (no gmail/hotmail/etc.)],"")</f>
        <v>vnguy054@fiu.edu</v>
      </c>
      <c r="H150" s="45" t="str">
        <f>_xlfn.XLOOKUP(TableFA21323[[#This Row],[Project]],Projects[Project],Projects[Affiliation (Company/University/Place of Work)],"")</f>
        <v>Florida International University</v>
      </c>
      <c r="I150" s="44">
        <f>COUNTIFS(TableFA21323[Project],TableFA21323[[#This Row],[Project]],TableFA21323[Program],TableFA21323[[#This Row],[Program]])</f>
        <v>4</v>
      </c>
      <c r="J150" s="44">
        <f>COUNTIFS(TableFA21323[Project],TableFA21323[[#This Row],[Project]])</f>
        <v>4</v>
      </c>
      <c r="K150" s="45"/>
    </row>
    <row r="151" spans="1:11" s="41" customFormat="1" x14ac:dyDescent="0.2">
      <c r="A151" s="80"/>
      <c r="B151" s="41" t="s">
        <v>307</v>
      </c>
      <c r="C151" s="41" t="s">
        <v>308</v>
      </c>
      <c r="D151" s="41" t="s">
        <v>31</v>
      </c>
      <c r="E151" s="75" t="s">
        <v>302</v>
      </c>
      <c r="F151" s="45" t="str">
        <f>_xlfn.XLOOKUP(TableFA21323[[#This Row],[Project]],Projects[Project],Projects[Full Name],"")</f>
        <v>Van Duc Nguyen</v>
      </c>
      <c r="G151" s="45" t="str">
        <f>_xlfn.XLOOKUP(TableFA21323[[#This Row],[Project]],Projects[Project],Projects[Work Email (no gmail/hotmail/etc.)],"")</f>
        <v>vnguy054@fiu.edu</v>
      </c>
      <c r="H151" s="45" t="str">
        <f>_xlfn.XLOOKUP(TableFA21323[[#This Row],[Project]],Projects[Project],Projects[Affiliation (Company/University/Place of Work)],"")</f>
        <v>Florida International University</v>
      </c>
      <c r="I151" s="44">
        <f>COUNTIFS(TableFA21323[Project],TableFA21323[[#This Row],[Project]],TableFA21323[Program],TableFA21323[[#This Row],[Program]])</f>
        <v>4</v>
      </c>
      <c r="J151" s="44">
        <f>COUNTIFS(TableFA21323[Project],TableFA21323[[#This Row],[Project]])</f>
        <v>4</v>
      </c>
      <c r="K151" s="45"/>
    </row>
    <row r="152" spans="1:11" x14ac:dyDescent="0.2">
      <c r="E152" s="1"/>
      <c r="F152" s="1"/>
      <c r="G152" s="1"/>
      <c r="H152" s="1"/>
      <c r="I152" s="1"/>
      <c r="J152" s="1"/>
      <c r="K152" s="1"/>
    </row>
    <row r="153" spans="1:11" s="41" customFormat="1" x14ac:dyDescent="0.2">
      <c r="A153" s="80">
        <v>27</v>
      </c>
      <c r="B153" s="41" t="s">
        <v>312</v>
      </c>
      <c r="C153" s="41" t="s">
        <v>313</v>
      </c>
      <c r="D153" s="41" t="s">
        <v>31</v>
      </c>
      <c r="E153" s="70" t="s">
        <v>311</v>
      </c>
      <c r="F153" s="45" t="str">
        <f>_xlfn.XLOOKUP(TableFA21323[[#This Row],[Project]],Projects[Project],Projects[Full Name],"")</f>
        <v>Juan Mieses</v>
      </c>
      <c r="G153" s="45" t="str">
        <f>_xlfn.XLOOKUP(TableFA21323[[#This Row],[Project]],Projects[Project],Projects[Work Email (no gmail/hotmail/etc.)],"")</f>
        <v>jmies004@fiu.edu</v>
      </c>
      <c r="H153" s="45" t="str">
        <f>_xlfn.XLOOKUP(TableFA21323[[#This Row],[Project]],Projects[Project],Projects[Affiliation (Company/University/Place of Work)],"")</f>
        <v>Florida International University</v>
      </c>
      <c r="I153" s="44">
        <f>COUNTIFS(TableFA21323[Project],TableFA21323[[#This Row],[Project]],TableFA21323[Program],TableFA21323[[#This Row],[Program]])</f>
        <v>5</v>
      </c>
      <c r="J153" s="44">
        <f>COUNTIFS(TableFA21323[Project],TableFA21323[[#This Row],[Project]])</f>
        <v>5</v>
      </c>
      <c r="K153" s="45"/>
    </row>
    <row r="154" spans="1:11" s="43" customFormat="1" x14ac:dyDescent="0.2">
      <c r="A154" s="80"/>
      <c r="B154" s="41" t="s">
        <v>314</v>
      </c>
      <c r="C154" s="41" t="s">
        <v>315</v>
      </c>
      <c r="D154" s="41" t="s">
        <v>31</v>
      </c>
      <c r="E154" s="45" t="s">
        <v>311</v>
      </c>
      <c r="F154" s="45" t="str">
        <f>_xlfn.XLOOKUP(TableFA21323[[#This Row],[Project]],Projects[Project],Projects[Full Name],"")</f>
        <v>Juan Mieses</v>
      </c>
      <c r="G154" s="45" t="str">
        <f>_xlfn.XLOOKUP(TableFA21323[[#This Row],[Project]],Projects[Project],Projects[Work Email (no gmail/hotmail/etc.)],"")</f>
        <v>jmies004@fiu.edu</v>
      </c>
      <c r="H154" s="45" t="str">
        <f>_xlfn.XLOOKUP(TableFA21323[[#This Row],[Project]],Projects[Project],Projects[Affiliation (Company/University/Place of Work)],"")</f>
        <v>Florida International University</v>
      </c>
      <c r="I154" s="44">
        <f>COUNTIFS(TableFA21323[Project],TableFA21323[[#This Row],[Project]],TableFA21323[Program],TableFA21323[[#This Row],[Program]])</f>
        <v>5</v>
      </c>
      <c r="J154" s="44">
        <f>COUNTIFS(TableFA21323[Project],TableFA21323[[#This Row],[Project]])</f>
        <v>5</v>
      </c>
      <c r="K154" s="45"/>
    </row>
    <row r="155" spans="1:11" s="43" customFormat="1" x14ac:dyDescent="0.2">
      <c r="A155" s="80"/>
      <c r="B155" s="43" t="s">
        <v>309</v>
      </c>
      <c r="C155" s="43" t="s">
        <v>310</v>
      </c>
      <c r="D155" s="43" t="s">
        <v>31</v>
      </c>
      <c r="E155" s="71" t="s">
        <v>311</v>
      </c>
      <c r="F155" s="44" t="str">
        <f>_xlfn.XLOOKUP(TableFA21323[[#This Row],[Project]],Projects[Project],Projects[Full Name],"")</f>
        <v>Juan Mieses</v>
      </c>
      <c r="G155" s="44" t="str">
        <f>_xlfn.XLOOKUP(TableFA21323[[#This Row],[Project]],Projects[Project],Projects[Work Email (no gmail/hotmail/etc.)],"")</f>
        <v>jmies004@fiu.edu</v>
      </c>
      <c r="H155" s="44" t="str">
        <f>_xlfn.XLOOKUP(TableFA21323[[#This Row],[Project]],Projects[Project],Projects[Affiliation (Company/University/Place of Work)],"")</f>
        <v>Florida International University</v>
      </c>
      <c r="I155" s="44">
        <f>COUNTIFS(TableFA21323[Project],TableFA21323[[#This Row],[Project]],TableFA21323[Program],TableFA21323[[#This Row],[Program]])</f>
        <v>5</v>
      </c>
      <c r="J155" s="44">
        <f>COUNTIFS(TableFA21323[Project],TableFA21323[[#This Row],[Project]])</f>
        <v>5</v>
      </c>
      <c r="K155" s="45"/>
    </row>
    <row r="156" spans="1:11" s="41" customFormat="1" x14ac:dyDescent="0.2">
      <c r="A156" s="80"/>
      <c r="B156" s="41" t="s">
        <v>316</v>
      </c>
      <c r="C156" s="41" t="s">
        <v>317</v>
      </c>
      <c r="D156" s="41" t="s">
        <v>31</v>
      </c>
      <c r="E156" s="45" t="s">
        <v>311</v>
      </c>
      <c r="F156" s="45" t="str">
        <f>_xlfn.XLOOKUP(TableFA21323[[#This Row],[Project]],Projects[Project],Projects[Full Name],"")</f>
        <v>Juan Mieses</v>
      </c>
      <c r="G156" s="45" t="str">
        <f>_xlfn.XLOOKUP(TableFA21323[[#This Row],[Project]],Projects[Project],Projects[Work Email (no gmail/hotmail/etc.)],"")</f>
        <v>jmies004@fiu.edu</v>
      </c>
      <c r="H156" s="45" t="str">
        <f>_xlfn.XLOOKUP(TableFA21323[[#This Row],[Project]],Projects[Project],Projects[Affiliation (Company/University/Place of Work)],"")</f>
        <v>Florida International University</v>
      </c>
      <c r="I156" s="44">
        <f>COUNTIFS(TableFA21323[Project],TableFA21323[[#This Row],[Project]],TableFA21323[Program],TableFA21323[[#This Row],[Program]])</f>
        <v>5</v>
      </c>
      <c r="J156" s="44">
        <f>COUNTIFS(TableFA21323[Project],TableFA21323[[#This Row],[Project]])</f>
        <v>5</v>
      </c>
      <c r="K156" s="45"/>
    </row>
    <row r="157" spans="1:11" s="43" customFormat="1" x14ac:dyDescent="0.2">
      <c r="A157" s="80"/>
      <c r="B157" s="41" t="s">
        <v>318</v>
      </c>
      <c r="C157" s="41" t="s">
        <v>319</v>
      </c>
      <c r="D157" s="41" t="s">
        <v>31</v>
      </c>
      <c r="E157" s="70" t="s">
        <v>311</v>
      </c>
      <c r="F157" s="45" t="str">
        <f>_xlfn.XLOOKUP(TableFA21323[[#This Row],[Project]],Projects[Project],Projects[Full Name],"")</f>
        <v>Juan Mieses</v>
      </c>
      <c r="G157" s="45" t="str">
        <f>_xlfn.XLOOKUP(TableFA21323[[#This Row],[Project]],Projects[Project],Projects[Work Email (no gmail/hotmail/etc.)],"")</f>
        <v>jmies004@fiu.edu</v>
      </c>
      <c r="H157" s="45" t="str">
        <f>_xlfn.XLOOKUP(TableFA21323[[#This Row],[Project]],Projects[Project],Projects[Affiliation (Company/University/Place of Work)],"")</f>
        <v>Florida International University</v>
      </c>
      <c r="I157" s="44">
        <f>COUNTIFS(TableFA21323[Project],TableFA21323[[#This Row],[Project]],TableFA21323[Program],TableFA21323[[#This Row],[Program]])</f>
        <v>5</v>
      </c>
      <c r="J157" s="44">
        <f>COUNTIFS(TableFA21323[Project],TableFA21323[[#This Row],[Project]])</f>
        <v>5</v>
      </c>
      <c r="K157" s="45"/>
    </row>
    <row r="158" spans="1:11" s="3" customFormat="1" x14ac:dyDescent="0.2">
      <c r="B158"/>
      <c r="C158"/>
      <c r="D158"/>
      <c r="E158" s="66"/>
      <c r="F158" s="1"/>
      <c r="G158" s="1"/>
      <c r="H158" s="1"/>
      <c r="I158" s="1"/>
      <c r="J158" s="1"/>
      <c r="K158" s="1"/>
    </row>
    <row r="159" spans="1:11" s="43" customFormat="1" x14ac:dyDescent="0.2">
      <c r="A159" s="83">
        <v>28</v>
      </c>
      <c r="B159" s="46" t="s">
        <v>323</v>
      </c>
      <c r="C159" s="41" t="s">
        <v>324</v>
      </c>
      <c r="D159" s="41" t="s">
        <v>31</v>
      </c>
      <c r="E159" s="45" t="s">
        <v>322</v>
      </c>
      <c r="F159" s="45" t="str">
        <f>_xlfn.XLOOKUP(TableFA21323[[#This Row],[Project]],Projects[Project],Projects[Full Name],"")</f>
        <v>Jorge Pereira</v>
      </c>
      <c r="G159" s="45" t="str">
        <f>_xlfn.XLOOKUP(TableFA21323[[#This Row],[Project]],Projects[Project],Projects[Work Email (no gmail/hotmail/etc.)],"")</f>
        <v>jpere1079@fiu.edu</v>
      </c>
      <c r="H159" s="45" t="str">
        <f>_xlfn.XLOOKUP(TableFA21323[[#This Row],[Project]],Projects[Project],Projects[Affiliation (Company/University/Place of Work)],"")</f>
        <v>Florida International University</v>
      </c>
      <c r="I159" s="44">
        <f>COUNTIFS(TableFA21323[Project],TableFA21323[[#This Row],[Project]],TableFA21323[Program],TableFA21323[[#This Row],[Program]])</f>
        <v>4</v>
      </c>
      <c r="J159" s="44">
        <f>COUNTIFS(TableFA21323[Project],TableFA21323[[#This Row],[Project]])</f>
        <v>4</v>
      </c>
      <c r="K159" s="45"/>
    </row>
    <row r="160" spans="1:11" s="41" customFormat="1" x14ac:dyDescent="0.2">
      <c r="A160" s="83"/>
      <c r="B160" s="41" t="s">
        <v>325</v>
      </c>
      <c r="C160" s="41" t="s">
        <v>326</v>
      </c>
      <c r="D160" s="41" t="s">
        <v>31</v>
      </c>
      <c r="E160" s="45" t="s">
        <v>322</v>
      </c>
      <c r="F160" s="45" t="str">
        <f>_xlfn.XLOOKUP(TableFA21323[[#This Row],[Project]],Projects[Project],Projects[Full Name],"")</f>
        <v>Jorge Pereira</v>
      </c>
      <c r="G160" s="45" t="str">
        <f>_xlfn.XLOOKUP(TableFA21323[[#This Row],[Project]],Projects[Project],Projects[Work Email (no gmail/hotmail/etc.)],"")</f>
        <v>jpere1079@fiu.edu</v>
      </c>
      <c r="H160" s="45" t="str">
        <f>_xlfn.XLOOKUP(TableFA21323[[#This Row],[Project]],Projects[Project],Projects[Affiliation (Company/University/Place of Work)],"")</f>
        <v>Florida International University</v>
      </c>
      <c r="I160" s="44">
        <f>COUNTIFS(TableFA21323[Project],TableFA21323[[#This Row],[Project]],TableFA21323[Program],TableFA21323[[#This Row],[Program]])</f>
        <v>4</v>
      </c>
      <c r="J160" s="44">
        <f>COUNTIFS(TableFA21323[Project],TableFA21323[[#This Row],[Project]])</f>
        <v>4</v>
      </c>
      <c r="K160" s="45"/>
    </row>
    <row r="161" spans="1:11" s="41" customFormat="1" x14ac:dyDescent="0.2">
      <c r="A161" s="83"/>
      <c r="B161" s="43" t="s">
        <v>320</v>
      </c>
      <c r="C161" s="43" t="s">
        <v>321</v>
      </c>
      <c r="D161" s="43" t="s">
        <v>31</v>
      </c>
      <c r="E161" s="44" t="s">
        <v>322</v>
      </c>
      <c r="F161" s="45" t="str">
        <f>_xlfn.XLOOKUP(TableFA21323[[#This Row],[Project]],Projects[Project],Projects[Full Name],"")</f>
        <v>Jorge Pereira</v>
      </c>
      <c r="G161" s="45" t="str">
        <f>_xlfn.XLOOKUP(TableFA21323[[#This Row],[Project]],Projects[Project],Projects[Work Email (no gmail/hotmail/etc.)],"")</f>
        <v>jpere1079@fiu.edu</v>
      </c>
      <c r="H161" s="45" t="str">
        <f>_xlfn.XLOOKUP(TableFA21323[[#This Row],[Project]],Projects[Project],Projects[Affiliation (Company/University/Place of Work)],"")</f>
        <v>Florida International University</v>
      </c>
      <c r="I161" s="44">
        <f>COUNTIFS(TableFA21323[Project],TableFA21323[[#This Row],[Project]],TableFA21323[Program],TableFA21323[[#This Row],[Program]])</f>
        <v>4</v>
      </c>
      <c r="J161" s="44">
        <f>COUNTIFS(TableFA21323[Project],TableFA21323[[#This Row],[Project]])</f>
        <v>4</v>
      </c>
      <c r="K161" s="45"/>
    </row>
    <row r="162" spans="1:11" s="41" customFormat="1" x14ac:dyDescent="0.2">
      <c r="A162" s="83"/>
      <c r="B162" s="41" t="s">
        <v>327</v>
      </c>
      <c r="C162" s="41" t="s">
        <v>328</v>
      </c>
      <c r="D162" s="41" t="s">
        <v>31</v>
      </c>
      <c r="E162" s="45" t="s">
        <v>322</v>
      </c>
      <c r="F162" s="45" t="str">
        <f>_xlfn.XLOOKUP(TableFA21323[[#This Row],[Project]],Projects[Project],Projects[Full Name],"")</f>
        <v>Jorge Pereira</v>
      </c>
      <c r="G162" s="45" t="str">
        <f>_xlfn.XLOOKUP(TableFA21323[[#This Row],[Project]],Projects[Project],Projects[Work Email (no gmail/hotmail/etc.)],"")</f>
        <v>jpere1079@fiu.edu</v>
      </c>
      <c r="H162" s="45" t="str">
        <f>_xlfn.XLOOKUP(TableFA21323[[#This Row],[Project]],Projects[Project],Projects[Affiliation (Company/University/Place of Work)],"")</f>
        <v>Florida International University</v>
      </c>
      <c r="I162" s="44">
        <f>COUNTIFS(TableFA21323[Project],TableFA21323[[#This Row],[Project]],TableFA21323[Program],TableFA21323[[#This Row],[Program]])</f>
        <v>4</v>
      </c>
      <c r="J162" s="44">
        <f>COUNTIFS(TableFA21323[Project],TableFA21323[[#This Row],[Project]])</f>
        <v>4</v>
      </c>
      <c r="K162" s="45"/>
    </row>
    <row r="163" spans="1:11" x14ac:dyDescent="0.2">
      <c r="E163" s="1"/>
      <c r="F163" s="1"/>
      <c r="G163" s="1"/>
      <c r="H163" s="1"/>
      <c r="I163" s="1"/>
      <c r="J163" s="1"/>
      <c r="K163" s="1"/>
    </row>
    <row r="164" spans="1:11" s="41" customFormat="1" x14ac:dyDescent="0.2">
      <c r="A164" s="80">
        <v>29</v>
      </c>
      <c r="B164" s="41" t="s">
        <v>332</v>
      </c>
      <c r="C164" s="41" t="s">
        <v>333</v>
      </c>
      <c r="D164" s="41" t="s">
        <v>31</v>
      </c>
      <c r="E164" s="41" t="s">
        <v>331</v>
      </c>
      <c r="F164" s="45" t="str">
        <f>_xlfn.XLOOKUP(TableFA21323[[#This Row],[Project]],Projects[Project],Projects[Full Name],"")</f>
        <v>liane@hrrhvisionconsulting.com</v>
      </c>
      <c r="G164" s="45" t="str">
        <f>_xlfn.XLOOKUP(TableFA21323[[#This Row],[Project]],Projects[Project],Projects[Work Email (no gmail/hotmail/etc.)],"")</f>
        <v>liane@hrrhvisionconsulting.com</v>
      </c>
      <c r="H164" s="45" t="str">
        <f>_xlfn.XLOOKUP(TableFA21323[[#This Row],[Project]],Projects[Project],Projects[Affiliation (Company/University/Place of Work)],"")</f>
        <v>HR VISION CONSULTING</v>
      </c>
      <c r="I164" s="44">
        <f>COUNTIFS(TableFA21323[Project],TableFA21323[[#This Row],[Project]],TableFA21323[Program],TableFA21323[[#This Row],[Program]])</f>
        <v>4</v>
      </c>
      <c r="J164" s="44">
        <f>COUNTIFS(TableFA21323[Project],TableFA21323[[#This Row],[Project]])</f>
        <v>4</v>
      </c>
      <c r="K164" s="45"/>
    </row>
    <row r="165" spans="1:11" s="41" customFormat="1" x14ac:dyDescent="0.2">
      <c r="A165" s="80"/>
      <c r="B165" s="41" t="s">
        <v>329</v>
      </c>
      <c r="C165" s="43" t="s">
        <v>330</v>
      </c>
      <c r="D165" s="43" t="s">
        <v>31</v>
      </c>
      <c r="E165" s="44" t="s">
        <v>331</v>
      </c>
      <c r="F165" s="45" t="str">
        <f>_xlfn.XLOOKUP(TableFA21323[[#This Row],[Project]],Projects[Project],Projects[Full Name],"")</f>
        <v>liane@hrrhvisionconsulting.com</v>
      </c>
      <c r="G165" s="45" t="str">
        <f>_xlfn.XLOOKUP(TableFA21323[[#This Row],[Project]],Projects[Project],Projects[Work Email (no gmail/hotmail/etc.)],"")</f>
        <v>liane@hrrhvisionconsulting.com</v>
      </c>
      <c r="H165" s="45" t="str">
        <f>_xlfn.XLOOKUP(TableFA21323[[#This Row],[Project]],Projects[Project],Projects[Affiliation (Company/University/Place of Work)],"")</f>
        <v>HR VISION CONSULTING</v>
      </c>
      <c r="I165" s="44">
        <f>COUNTIFS(TableFA21323[Project],TableFA21323[[#This Row],[Project]],TableFA21323[Program],TableFA21323[[#This Row],[Program]])</f>
        <v>4</v>
      </c>
      <c r="J165" s="44">
        <f>COUNTIFS(TableFA21323[Project],TableFA21323[[#This Row],[Project]])</f>
        <v>4</v>
      </c>
      <c r="K165" s="45"/>
    </row>
    <row r="166" spans="1:11" s="41" customFormat="1" x14ac:dyDescent="0.2">
      <c r="A166" s="80"/>
      <c r="B166" s="41" t="s">
        <v>334</v>
      </c>
      <c r="C166" s="41" t="s">
        <v>335</v>
      </c>
      <c r="D166" s="41" t="s">
        <v>31</v>
      </c>
      <c r="E166" s="45" t="s">
        <v>331</v>
      </c>
      <c r="F166" s="45" t="str">
        <f>_xlfn.XLOOKUP(TableFA21323[[#This Row],[Project]],Projects[Project],Projects[Full Name],"")</f>
        <v>liane@hrrhvisionconsulting.com</v>
      </c>
      <c r="G166" s="45" t="str">
        <f>_xlfn.XLOOKUP(TableFA21323[[#This Row],[Project]],Projects[Project],Projects[Work Email (no gmail/hotmail/etc.)],"")</f>
        <v>liane@hrrhvisionconsulting.com</v>
      </c>
      <c r="H166" s="45" t="str">
        <f>_xlfn.XLOOKUP(TableFA21323[[#This Row],[Project]],Projects[Project],Projects[Affiliation (Company/University/Place of Work)],"")</f>
        <v>HR VISION CONSULTING</v>
      </c>
      <c r="I166" s="44">
        <f>COUNTIFS(TableFA21323[Project],TableFA21323[[#This Row],[Project]],TableFA21323[Program],TableFA21323[[#This Row],[Program]])</f>
        <v>4</v>
      </c>
      <c r="J166" s="44">
        <f>COUNTIFS(TableFA21323[Project],TableFA21323[[#This Row],[Project]])</f>
        <v>4</v>
      </c>
      <c r="K166" s="45"/>
    </row>
    <row r="167" spans="1:11" s="41" customFormat="1" x14ac:dyDescent="0.2">
      <c r="A167" s="80"/>
      <c r="B167" s="46" t="s">
        <v>336</v>
      </c>
      <c r="C167" s="41" t="s">
        <v>337</v>
      </c>
      <c r="D167" s="41" t="s">
        <v>31</v>
      </c>
      <c r="E167" s="45" t="s">
        <v>331</v>
      </c>
      <c r="F167" s="45" t="str">
        <f>_xlfn.XLOOKUP(TableFA21323[[#This Row],[Project]],Projects[Project],Projects[Full Name],"")</f>
        <v>liane@hrrhvisionconsulting.com</v>
      </c>
      <c r="G167" s="45" t="str">
        <f>_xlfn.XLOOKUP(TableFA21323[[#This Row],[Project]],Projects[Project],Projects[Work Email (no gmail/hotmail/etc.)],"")</f>
        <v>liane@hrrhvisionconsulting.com</v>
      </c>
      <c r="H167" s="45" t="str">
        <f>_xlfn.XLOOKUP(TableFA21323[[#This Row],[Project]],Projects[Project],Projects[Affiliation (Company/University/Place of Work)],"")</f>
        <v>HR VISION CONSULTING</v>
      </c>
      <c r="I167" s="44">
        <f>COUNTIFS(TableFA21323[Project],TableFA21323[[#This Row],[Project]],TableFA21323[Program],TableFA21323[[#This Row],[Program]])</f>
        <v>4</v>
      </c>
      <c r="J167" s="44">
        <f>COUNTIFS(TableFA21323[Project],TableFA21323[[#This Row],[Project]])</f>
        <v>4</v>
      </c>
      <c r="K167" s="45"/>
    </row>
    <row r="168" spans="1:11" x14ac:dyDescent="0.2">
      <c r="B168" s="60"/>
      <c r="E168" s="1"/>
      <c r="F168" s="1"/>
      <c r="G168" s="1"/>
      <c r="H168" s="1"/>
      <c r="I168" s="1"/>
      <c r="J168" s="1"/>
      <c r="K168" s="1"/>
    </row>
    <row r="169" spans="1:11" s="41" customFormat="1" x14ac:dyDescent="0.2">
      <c r="A169" s="80">
        <v>30</v>
      </c>
      <c r="B169" s="41" t="s">
        <v>341</v>
      </c>
      <c r="C169" s="41" t="s">
        <v>342</v>
      </c>
      <c r="D169" s="41" t="s">
        <v>31</v>
      </c>
      <c r="E169" s="45" t="s">
        <v>340</v>
      </c>
      <c r="F169" s="45" t="str">
        <f>_xlfn.XLOOKUP(TableFA21323[[#This Row],[Project]],Projects[Project],Projects[Full Name],"")</f>
        <v>Mohammad Naqvi</v>
      </c>
      <c r="G169" s="45" t="str">
        <f>_xlfn.XLOOKUP(TableFA21323[[#This Row],[Project]],Projects[Project],Projects[Work Email (no gmail/hotmail/etc.)],"")</f>
        <v>mnaqv002@fiu.edu</v>
      </c>
      <c r="H169" s="45" t="str">
        <f>_xlfn.XLOOKUP(TableFA21323[[#This Row],[Project]],Projects[Project],Projects[Affiliation (Company/University/Place of Work)],"")</f>
        <v>Florida International University</v>
      </c>
      <c r="I169" s="44">
        <f>COUNTIFS(TableFA21323[Project],TableFA21323[[#This Row],[Project]],TableFA21323[Program],TableFA21323[[#This Row],[Program]])</f>
        <v>3</v>
      </c>
      <c r="J169" s="44">
        <f>COUNTIFS(TableFA21323[Project],TableFA21323[[#This Row],[Project]])</f>
        <v>3</v>
      </c>
      <c r="K169" s="45"/>
    </row>
    <row r="170" spans="1:11" s="41" customFormat="1" x14ac:dyDescent="0.2">
      <c r="A170" s="80"/>
      <c r="B170" s="41" t="s">
        <v>338</v>
      </c>
      <c r="C170" s="43" t="s">
        <v>339</v>
      </c>
      <c r="D170" s="43" t="s">
        <v>31</v>
      </c>
      <c r="E170" s="44" t="s">
        <v>340</v>
      </c>
      <c r="F170" s="45" t="str">
        <f>_xlfn.XLOOKUP(TableFA21323[[#This Row],[Project]],Projects[Project],Projects[Full Name],"")</f>
        <v>Mohammad Naqvi</v>
      </c>
      <c r="G170" s="45" t="str">
        <f>_xlfn.XLOOKUP(TableFA21323[[#This Row],[Project]],Projects[Project],Projects[Work Email (no gmail/hotmail/etc.)],"")</f>
        <v>mnaqv002@fiu.edu</v>
      </c>
      <c r="H170" s="45" t="str">
        <f>_xlfn.XLOOKUP(TableFA21323[[#This Row],[Project]],Projects[Project],Projects[Affiliation (Company/University/Place of Work)],"")</f>
        <v>Florida International University</v>
      </c>
      <c r="I170" s="44">
        <f>COUNTIFS(TableFA21323[Project],TableFA21323[[#This Row],[Project]],TableFA21323[Program],TableFA21323[[#This Row],[Program]])</f>
        <v>3</v>
      </c>
      <c r="J170" s="44">
        <f>COUNTIFS(TableFA21323[Project],TableFA21323[[#This Row],[Project]])</f>
        <v>3</v>
      </c>
      <c r="K170" s="45"/>
    </row>
    <row r="171" spans="1:11" s="41" customFormat="1" x14ac:dyDescent="0.2">
      <c r="A171" s="80"/>
      <c r="B171" s="41" t="s">
        <v>343</v>
      </c>
      <c r="C171" s="41" t="s">
        <v>344</v>
      </c>
      <c r="D171" s="41" t="s">
        <v>31</v>
      </c>
      <c r="E171" s="45" t="s">
        <v>340</v>
      </c>
      <c r="F171" s="45" t="str">
        <f>_xlfn.XLOOKUP(TableFA21323[[#This Row],[Project]],Projects[Project],Projects[Full Name],"")</f>
        <v>Mohammad Naqvi</v>
      </c>
      <c r="G171" s="45" t="str">
        <f>_xlfn.XLOOKUP(TableFA21323[[#This Row],[Project]],Projects[Project],Projects[Work Email (no gmail/hotmail/etc.)],"")</f>
        <v>mnaqv002@fiu.edu</v>
      </c>
      <c r="H171" s="45" t="str">
        <f>_xlfn.XLOOKUP(TableFA21323[[#This Row],[Project]],Projects[Project],Projects[Affiliation (Company/University/Place of Work)],"")</f>
        <v>Florida International University</v>
      </c>
      <c r="I171" s="44">
        <f>COUNTIFS(TableFA21323[Project],TableFA21323[[#This Row],[Project]],TableFA21323[Program],TableFA21323[[#This Row],[Program]])</f>
        <v>3</v>
      </c>
      <c r="J171" s="44">
        <f>COUNTIFS(TableFA21323[Project],TableFA21323[[#This Row],[Project]])</f>
        <v>3</v>
      </c>
      <c r="K171" s="45"/>
    </row>
    <row r="172" spans="1:11" x14ac:dyDescent="0.2">
      <c r="E172" s="1"/>
      <c r="F172" s="1"/>
      <c r="G172" s="1"/>
      <c r="H172" s="1"/>
      <c r="I172" s="1"/>
      <c r="J172" s="1"/>
      <c r="K172" s="1"/>
    </row>
    <row r="173" spans="1:11" s="41" customFormat="1" x14ac:dyDescent="0.2">
      <c r="A173" s="80">
        <v>31</v>
      </c>
      <c r="B173" s="41" t="s">
        <v>348</v>
      </c>
      <c r="C173" s="41" t="s">
        <v>349</v>
      </c>
      <c r="D173" s="41" t="s">
        <v>31</v>
      </c>
      <c r="E173" s="45" t="s">
        <v>347</v>
      </c>
      <c r="F173" s="45" t="str">
        <f>_xlfn.XLOOKUP(TableFA21323[[#This Row],[Project]],Projects[Project],Projects[Full Name],"")</f>
        <v>Rickny Sanon</v>
      </c>
      <c r="G173" s="45" t="str">
        <f>_xlfn.XLOOKUP(TableFA21323[[#This Row],[Project]],Projects[Project],Projects[Work Email (no gmail/hotmail/etc.)],"")</f>
        <v>Rsano008@fiu.edu</v>
      </c>
      <c r="H173" s="45" t="str">
        <f>_xlfn.XLOOKUP(TableFA21323[[#This Row],[Project]],Projects[Project],Projects[Affiliation (Company/University/Place of Work)],"")</f>
        <v>Florida International University</v>
      </c>
      <c r="I173" s="44">
        <f>COUNTIFS(TableFA21323[Project],TableFA21323[[#This Row],[Project]],TableFA21323[Program],TableFA21323[[#This Row],[Program]])</f>
        <v>4</v>
      </c>
      <c r="J173" s="44">
        <f>COUNTIFS(TableFA21323[Project],TableFA21323[[#This Row],[Project]])</f>
        <v>4</v>
      </c>
      <c r="K173" s="45"/>
    </row>
    <row r="174" spans="1:11" s="41" customFormat="1" x14ac:dyDescent="0.2">
      <c r="A174" s="80"/>
      <c r="B174" s="41" t="s">
        <v>345</v>
      </c>
      <c r="C174" s="43" t="s">
        <v>346</v>
      </c>
      <c r="D174" s="43" t="s">
        <v>31</v>
      </c>
      <c r="E174" s="44" t="s">
        <v>347</v>
      </c>
      <c r="F174" s="44" t="str">
        <f>_xlfn.XLOOKUP(TableFA21323[[#This Row],[Project]],Projects[Project],Projects[Full Name],"")</f>
        <v>Rickny Sanon</v>
      </c>
      <c r="G174" s="44" t="str">
        <f>_xlfn.XLOOKUP(TableFA21323[[#This Row],[Project]],Projects[Project],Projects[Work Email (no gmail/hotmail/etc.)],"")</f>
        <v>Rsano008@fiu.edu</v>
      </c>
      <c r="H174" s="44" t="str">
        <f>_xlfn.XLOOKUP(TableFA21323[[#This Row],[Project]],Projects[Project],Projects[Affiliation (Company/University/Place of Work)],"")</f>
        <v>Florida International University</v>
      </c>
      <c r="I174" s="44">
        <f>COUNTIFS(TableFA21323[Project],TableFA21323[[#This Row],[Project]],TableFA21323[Program],TableFA21323[[#This Row],[Program]])</f>
        <v>4</v>
      </c>
      <c r="J174" s="44">
        <f>COUNTIFS(TableFA21323[Project],TableFA21323[[#This Row],[Project]])</f>
        <v>4</v>
      </c>
      <c r="K174" s="45"/>
    </row>
    <row r="175" spans="1:11" s="41" customFormat="1" x14ac:dyDescent="0.2">
      <c r="A175" s="80"/>
      <c r="B175" s="41" t="s">
        <v>350</v>
      </c>
      <c r="C175" s="41" t="s">
        <v>351</v>
      </c>
      <c r="D175" s="41" t="s">
        <v>31</v>
      </c>
      <c r="E175" s="45" t="s">
        <v>347</v>
      </c>
      <c r="F175" s="45" t="str">
        <f>_xlfn.XLOOKUP(TableFA21323[[#This Row],[Project]],Projects[Project],Projects[Full Name],"")</f>
        <v>Rickny Sanon</v>
      </c>
      <c r="G175" s="45" t="str">
        <f>_xlfn.XLOOKUP(TableFA21323[[#This Row],[Project]],Projects[Project],Projects[Work Email (no gmail/hotmail/etc.)],"")</f>
        <v>Rsano008@fiu.edu</v>
      </c>
      <c r="H175" s="45" t="str">
        <f>_xlfn.XLOOKUP(TableFA21323[[#This Row],[Project]],Projects[Project],Projects[Affiliation (Company/University/Place of Work)],"")</f>
        <v>Florida International University</v>
      </c>
      <c r="I175" s="44">
        <f>COUNTIFS(TableFA21323[Project],TableFA21323[[#This Row],[Project]],TableFA21323[Program],TableFA21323[[#This Row],[Program]])</f>
        <v>4</v>
      </c>
      <c r="J175" s="44">
        <f>COUNTIFS(TableFA21323[Project],TableFA21323[[#This Row],[Project]])</f>
        <v>4</v>
      </c>
      <c r="K175" s="45"/>
    </row>
    <row r="176" spans="1:11" s="41" customFormat="1" x14ac:dyDescent="0.2">
      <c r="A176" s="80"/>
      <c r="B176" s="41" t="s">
        <v>352</v>
      </c>
      <c r="C176" s="41" t="s">
        <v>353</v>
      </c>
      <c r="D176" s="41" t="s">
        <v>31</v>
      </c>
      <c r="E176" s="45" t="s">
        <v>347</v>
      </c>
      <c r="F176" s="45" t="str">
        <f>_xlfn.XLOOKUP(TableFA21323[[#This Row],[Project]],Projects[Project],Projects[Full Name],"")</f>
        <v>Rickny Sanon</v>
      </c>
      <c r="G176" s="45" t="str">
        <f>_xlfn.XLOOKUP(TableFA21323[[#This Row],[Project]],Projects[Project],Projects[Work Email (no gmail/hotmail/etc.)],"")</f>
        <v>Rsano008@fiu.edu</v>
      </c>
      <c r="H176" s="45" t="str">
        <f>_xlfn.XLOOKUP(TableFA21323[[#This Row],[Project]],Projects[Project],Projects[Affiliation (Company/University/Place of Work)],"")</f>
        <v>Florida International University</v>
      </c>
      <c r="I176" s="44">
        <f>COUNTIFS(TableFA21323[Project],TableFA21323[[#This Row],[Project]],TableFA21323[Program],TableFA21323[[#This Row],[Program]])</f>
        <v>4</v>
      </c>
      <c r="J176" s="44">
        <f>COUNTIFS(TableFA21323[Project],TableFA21323[[#This Row],[Project]])</f>
        <v>4</v>
      </c>
      <c r="K176" s="45"/>
    </row>
    <row r="177" spans="1:11" x14ac:dyDescent="0.2">
      <c r="E177" s="1"/>
      <c r="F177" s="1"/>
      <c r="G177" s="1"/>
      <c r="H177" s="1"/>
      <c r="I177" s="1"/>
      <c r="J177" s="1"/>
      <c r="K177" s="1"/>
    </row>
    <row r="178" spans="1:11" s="41" customFormat="1" x14ac:dyDescent="0.2">
      <c r="A178" s="80">
        <v>32</v>
      </c>
      <c r="B178" s="41" t="s">
        <v>357</v>
      </c>
      <c r="C178" s="41" t="s">
        <v>358</v>
      </c>
      <c r="D178" s="41" t="s">
        <v>31</v>
      </c>
      <c r="E178" s="45" t="s">
        <v>356</v>
      </c>
      <c r="F178" s="45" t="str">
        <f>_xlfn.XLOOKUP(TableFA21323[[#This Row],[Project]],Projects[Project],Projects[Full Name],"")</f>
        <v>Christian Garcia</v>
      </c>
      <c r="G178" s="45" t="str">
        <f>_xlfn.XLOOKUP(TableFA21323[[#This Row],[Project]],Projects[Project],Projects[Work Email (no gmail/hotmail/etc.)],"")</f>
        <v>cgarc669@fiu.edu</v>
      </c>
      <c r="H178" s="45" t="str">
        <f>_xlfn.XLOOKUP(TableFA21323[[#This Row],[Project]],Projects[Project],Projects[Affiliation (Company/University/Place of Work)],"")</f>
        <v>Florida International University</v>
      </c>
      <c r="I178" s="44">
        <f>COUNTIFS(TableFA21323[Project],TableFA21323[[#This Row],[Project]],TableFA21323[Program],TableFA21323[[#This Row],[Program]])</f>
        <v>3</v>
      </c>
      <c r="J178" s="44">
        <f>COUNTIFS(TableFA21323[Project],TableFA21323[[#This Row],[Project]])</f>
        <v>3</v>
      </c>
      <c r="K178" s="45"/>
    </row>
    <row r="179" spans="1:11" s="41" customFormat="1" x14ac:dyDescent="0.2">
      <c r="A179" s="80"/>
      <c r="B179" s="46" t="s">
        <v>354</v>
      </c>
      <c r="C179" s="43" t="s">
        <v>355</v>
      </c>
      <c r="D179" s="43" t="s">
        <v>31</v>
      </c>
      <c r="E179" s="44" t="s">
        <v>356</v>
      </c>
      <c r="F179" s="45" t="str">
        <f>_xlfn.XLOOKUP(TableFA21323[[#This Row],[Project]],Projects[Project],Projects[Full Name],"")</f>
        <v>Christian Garcia</v>
      </c>
      <c r="G179" s="45" t="str">
        <f>_xlfn.XLOOKUP(TableFA21323[[#This Row],[Project]],Projects[Project],Projects[Work Email (no gmail/hotmail/etc.)],"")</f>
        <v>cgarc669@fiu.edu</v>
      </c>
      <c r="H179" s="45" t="str">
        <f>_xlfn.XLOOKUP(TableFA21323[[#This Row],[Project]],Projects[Project],Projects[Affiliation (Company/University/Place of Work)],"")</f>
        <v>Florida International University</v>
      </c>
      <c r="I179" s="44">
        <f>COUNTIFS(TableFA21323[Project],TableFA21323[[#This Row],[Project]],TableFA21323[Program],TableFA21323[[#This Row],[Program]])</f>
        <v>3</v>
      </c>
      <c r="J179" s="44">
        <f>COUNTIFS(TableFA21323[Project],TableFA21323[[#This Row],[Project]])</f>
        <v>3</v>
      </c>
      <c r="K179" s="45"/>
    </row>
    <row r="180" spans="1:11" s="41" customFormat="1" x14ac:dyDescent="0.2">
      <c r="A180" s="80"/>
      <c r="B180" s="41" t="s">
        <v>359</v>
      </c>
      <c r="C180" s="41" t="s">
        <v>360</v>
      </c>
      <c r="D180" s="41" t="s">
        <v>31</v>
      </c>
      <c r="E180" s="45" t="s">
        <v>356</v>
      </c>
      <c r="F180" s="45" t="str">
        <f>_xlfn.XLOOKUP(TableFA21323[[#This Row],[Project]],Projects[Project],Projects[Full Name],"")</f>
        <v>Christian Garcia</v>
      </c>
      <c r="G180" s="45" t="str">
        <f>_xlfn.XLOOKUP(TableFA21323[[#This Row],[Project]],Projects[Project],Projects[Work Email (no gmail/hotmail/etc.)],"")</f>
        <v>cgarc669@fiu.edu</v>
      </c>
      <c r="H180" s="45" t="str">
        <f>_xlfn.XLOOKUP(TableFA21323[[#This Row],[Project]],Projects[Project],Projects[Affiliation (Company/University/Place of Work)],"")</f>
        <v>Florida International University</v>
      </c>
      <c r="I180" s="44">
        <f>COUNTIFS(TableFA21323[Project],TableFA21323[[#This Row],[Project]],TableFA21323[Program],TableFA21323[[#This Row],[Program]])</f>
        <v>3</v>
      </c>
      <c r="J180" s="44">
        <f>COUNTIFS(TableFA21323[Project],TableFA21323[[#This Row],[Project]])</f>
        <v>3</v>
      </c>
      <c r="K180" s="45"/>
    </row>
    <row r="181" spans="1:11" x14ac:dyDescent="0.2">
      <c r="E181" s="1"/>
      <c r="F181" s="1"/>
      <c r="G181" s="1"/>
      <c r="H181" s="1"/>
      <c r="I181" s="1"/>
      <c r="J181" s="1"/>
      <c r="K181" s="1"/>
    </row>
    <row r="182" spans="1:11" s="41" customFormat="1" x14ac:dyDescent="0.2">
      <c r="A182" s="80">
        <v>33</v>
      </c>
      <c r="B182" s="43" t="s">
        <v>363</v>
      </c>
      <c r="C182" s="43" t="s">
        <v>364</v>
      </c>
      <c r="D182" s="43" t="s">
        <v>31</v>
      </c>
      <c r="E182" s="45" t="s">
        <v>365</v>
      </c>
      <c r="F182" s="45" t="str">
        <f>_xlfn.XLOOKUP(TableFA21323[[#This Row],[Project]],Projects[Project],Projects[Full Name],"")</f>
        <v>Felix Arbucias</v>
      </c>
      <c r="G182" s="45" t="str">
        <f>_xlfn.XLOOKUP(TableFA21323[[#This Row],[Project]],Projects[Project],Projects[Work Email (no gmail/hotmail/etc.)],"")</f>
        <v>farbu001@fiu.edu</v>
      </c>
      <c r="H182" s="45" t="str">
        <f>_xlfn.XLOOKUP(TableFA21323[[#This Row],[Project]],Projects[Project],Projects[Affiliation (Company/University/Place of Work)],"")</f>
        <v>Florida International University</v>
      </c>
      <c r="I182" s="44">
        <f>COUNTIFS(TableFA21323[Project],TableFA21323[[#This Row],[Project]],TableFA21323[Program],TableFA21323[[#This Row],[Program]])</f>
        <v>5</v>
      </c>
      <c r="J182" s="44">
        <f>COUNTIFS(TableFA21323[Project],TableFA21323[[#This Row],[Project]])</f>
        <v>5</v>
      </c>
      <c r="K182" s="45" t="s">
        <v>869</v>
      </c>
    </row>
    <row r="183" spans="1:11" s="41" customFormat="1" x14ac:dyDescent="0.2">
      <c r="A183" s="80"/>
      <c r="B183" s="41" t="s">
        <v>366</v>
      </c>
      <c r="C183" s="41" t="s">
        <v>367</v>
      </c>
      <c r="D183" s="41" t="s">
        <v>31</v>
      </c>
      <c r="E183" s="45" t="s">
        <v>365</v>
      </c>
      <c r="F183" s="45" t="str">
        <f>_xlfn.XLOOKUP(TableFA21323[[#This Row],[Project]],Projects[Project],Projects[Full Name],"")</f>
        <v>Felix Arbucias</v>
      </c>
      <c r="G183" s="45" t="str">
        <f>_xlfn.XLOOKUP(TableFA21323[[#This Row],[Project]],Projects[Project],Projects[Work Email (no gmail/hotmail/etc.)],"")</f>
        <v>farbu001@fiu.edu</v>
      </c>
      <c r="H183" s="45" t="str">
        <f>_xlfn.XLOOKUP(TableFA21323[[#This Row],[Project]],Projects[Project],Projects[Affiliation (Company/University/Place of Work)],"")</f>
        <v>Florida International University</v>
      </c>
      <c r="I183" s="44">
        <f>COUNTIFS(TableFA21323[Project],TableFA21323[[#This Row],[Project]],TableFA21323[Program],TableFA21323[[#This Row],[Program]])</f>
        <v>5</v>
      </c>
      <c r="J183" s="44">
        <f>COUNTIFS(TableFA21323[Project],TableFA21323[[#This Row],[Project]])</f>
        <v>5</v>
      </c>
      <c r="K183" s="45"/>
    </row>
    <row r="184" spans="1:11" s="41" customFormat="1" x14ac:dyDescent="0.2">
      <c r="A184" s="80"/>
      <c r="B184" s="46" t="s">
        <v>368</v>
      </c>
      <c r="C184" s="41" t="s">
        <v>369</v>
      </c>
      <c r="D184" s="41" t="s">
        <v>31</v>
      </c>
      <c r="E184" s="45" t="s">
        <v>365</v>
      </c>
      <c r="F184" s="45" t="str">
        <f>_xlfn.XLOOKUP(TableFA21323[[#This Row],[Project]],Projects[Project],Projects[Full Name],"")</f>
        <v>Felix Arbucias</v>
      </c>
      <c r="G184" s="45" t="str">
        <f>_xlfn.XLOOKUP(TableFA21323[[#This Row],[Project]],Projects[Project],Projects[Work Email (no gmail/hotmail/etc.)],"")</f>
        <v>farbu001@fiu.edu</v>
      </c>
      <c r="H184" s="45" t="str">
        <f>_xlfn.XLOOKUP(TableFA21323[[#This Row],[Project]],Projects[Project],Projects[Affiliation (Company/University/Place of Work)],"")</f>
        <v>Florida International University</v>
      </c>
      <c r="I184" s="44">
        <f>COUNTIFS(TableFA21323[Project],TableFA21323[[#This Row],[Project]],TableFA21323[Program],TableFA21323[[#This Row],[Program]])</f>
        <v>5</v>
      </c>
      <c r="J184" s="44">
        <f>COUNTIFS(TableFA21323[Project],TableFA21323[[#This Row],[Project]])</f>
        <v>5</v>
      </c>
      <c r="K184" s="45"/>
    </row>
    <row r="185" spans="1:11" s="41" customFormat="1" x14ac:dyDescent="0.2">
      <c r="A185" s="80"/>
      <c r="B185" s="41" t="s">
        <v>370</v>
      </c>
      <c r="C185" s="41" t="s">
        <v>371</v>
      </c>
      <c r="D185" s="41" t="s">
        <v>31</v>
      </c>
      <c r="E185" s="45" t="s">
        <v>365</v>
      </c>
      <c r="F185" s="45" t="str">
        <f>_xlfn.XLOOKUP(TableFA21323[[#This Row],[Project]],Projects[Project],Projects[Full Name],"")</f>
        <v>Felix Arbucias</v>
      </c>
      <c r="G185" s="45" t="str">
        <f>_xlfn.XLOOKUP(TableFA21323[[#This Row],[Project]],Projects[Project],Projects[Work Email (no gmail/hotmail/etc.)],"")</f>
        <v>farbu001@fiu.edu</v>
      </c>
      <c r="H185" s="45" t="str">
        <f>_xlfn.XLOOKUP(TableFA21323[[#This Row],[Project]],Projects[Project],Projects[Affiliation (Company/University/Place of Work)],"")</f>
        <v>Florida International University</v>
      </c>
      <c r="I185" s="44">
        <f>COUNTIFS(TableFA21323[Project],TableFA21323[[#This Row],[Project]],TableFA21323[Program],TableFA21323[[#This Row],[Program]])</f>
        <v>5</v>
      </c>
      <c r="J185" s="44">
        <f>COUNTIFS(TableFA21323[Project],TableFA21323[[#This Row],[Project]])</f>
        <v>5</v>
      </c>
      <c r="K185" s="45"/>
    </row>
    <row r="186" spans="1:11" s="41" customFormat="1" x14ac:dyDescent="0.2">
      <c r="A186" s="80"/>
      <c r="B186" s="41" t="s">
        <v>372</v>
      </c>
      <c r="C186" s="41" t="s">
        <v>373</v>
      </c>
      <c r="D186" s="41" t="s">
        <v>31</v>
      </c>
      <c r="E186" s="45" t="s">
        <v>365</v>
      </c>
      <c r="F186" s="45" t="str">
        <f>_xlfn.XLOOKUP(TableFA21323[[#This Row],[Project]],Projects[Project],Projects[Full Name],"")</f>
        <v>Felix Arbucias</v>
      </c>
      <c r="G186" s="45" t="str">
        <f>_xlfn.XLOOKUP(TableFA21323[[#This Row],[Project]],Projects[Project],Projects[Work Email (no gmail/hotmail/etc.)],"")</f>
        <v>farbu001@fiu.edu</v>
      </c>
      <c r="H186" s="45" t="str">
        <f>_xlfn.XLOOKUP(TableFA21323[[#This Row],[Project]],Projects[Project],Projects[Affiliation (Company/University/Place of Work)],"")</f>
        <v>Florida International University</v>
      </c>
      <c r="I186" s="44">
        <f>COUNTIFS(TableFA21323[Project],TableFA21323[[#This Row],[Project]],TableFA21323[Program],TableFA21323[[#This Row],[Program]])</f>
        <v>5</v>
      </c>
      <c r="J186" s="44">
        <f>COUNTIFS(TableFA21323[Project],TableFA21323[[#This Row],[Project]])</f>
        <v>5</v>
      </c>
      <c r="K186" s="45"/>
    </row>
    <row r="187" spans="1:11" x14ac:dyDescent="0.2">
      <c r="E187" s="1"/>
      <c r="F187" s="1"/>
      <c r="G187" s="1"/>
      <c r="H187" s="1"/>
      <c r="I187" s="1"/>
      <c r="J187" s="1"/>
      <c r="K187" s="1"/>
    </row>
    <row r="188" spans="1:11" s="41" customFormat="1" x14ac:dyDescent="0.2">
      <c r="A188" s="80">
        <v>34</v>
      </c>
      <c r="B188" s="41" t="s">
        <v>385</v>
      </c>
      <c r="C188" s="41" t="s">
        <v>386</v>
      </c>
      <c r="D188" s="41" t="s">
        <v>383</v>
      </c>
      <c r="E188" s="45" t="s">
        <v>384</v>
      </c>
      <c r="F188" s="45" t="str">
        <f>_xlfn.XLOOKUP(TableFA21323[[#This Row],[Project]],Projects[Project],Projects[Full Name],"")</f>
        <v>Ashley Francis</v>
      </c>
      <c r="G188" s="45" t="str">
        <f>_xlfn.XLOOKUP(TableFA21323[[#This Row],[Project]],Projects[Project],Projects[Work Email (no gmail/hotmail/etc.)],"")</f>
        <v>afran280@fiu.edu</v>
      </c>
      <c r="H188" s="45" t="str">
        <f>_xlfn.XLOOKUP(TableFA21323[[#This Row],[Project]],Projects[Project],Projects[Affiliation (Company/University/Place of Work)],"")</f>
        <v>Florida International University</v>
      </c>
      <c r="I188" s="44">
        <f>COUNTIFS(TableFA21323[Project],TableFA21323[[#This Row],[Project]],TableFA21323[Program],TableFA21323[[#This Row],[Program]])</f>
        <v>5</v>
      </c>
      <c r="J188" s="44">
        <f>COUNTIFS(TableFA21323[Project],TableFA21323[[#This Row],[Project]])</f>
        <v>5</v>
      </c>
      <c r="K188" s="45"/>
    </row>
    <row r="189" spans="1:11" s="41" customFormat="1" x14ac:dyDescent="0.2">
      <c r="A189" s="80"/>
      <c r="B189" s="41" t="s">
        <v>387</v>
      </c>
      <c r="C189" s="41" t="s">
        <v>388</v>
      </c>
      <c r="D189" s="41" t="s">
        <v>383</v>
      </c>
      <c r="E189" s="45" t="s">
        <v>384</v>
      </c>
      <c r="F189" s="45" t="str">
        <f>_xlfn.XLOOKUP(TableFA21323[[#This Row],[Project]],Projects[Project],Projects[Full Name],"")</f>
        <v>Ashley Francis</v>
      </c>
      <c r="G189" s="45" t="str">
        <f>_xlfn.XLOOKUP(TableFA21323[[#This Row],[Project]],Projects[Project],Projects[Work Email (no gmail/hotmail/etc.)],"")</f>
        <v>afran280@fiu.edu</v>
      </c>
      <c r="H189" s="45" t="str">
        <f>_xlfn.XLOOKUP(TableFA21323[[#This Row],[Project]],Projects[Project],Projects[Affiliation (Company/University/Place of Work)],"")</f>
        <v>Florida International University</v>
      </c>
      <c r="I189" s="44">
        <f>COUNTIFS(TableFA21323[Project],TableFA21323[[#This Row],[Project]],TableFA21323[Program],TableFA21323[[#This Row],[Program]])</f>
        <v>5</v>
      </c>
      <c r="J189" s="44">
        <f>COUNTIFS(TableFA21323[Project],TableFA21323[[#This Row],[Project]])</f>
        <v>5</v>
      </c>
      <c r="K189" s="45"/>
    </row>
    <row r="190" spans="1:11" s="41" customFormat="1" x14ac:dyDescent="0.2">
      <c r="A190" s="80"/>
      <c r="B190" s="41" t="s">
        <v>389</v>
      </c>
      <c r="C190" s="41" t="s">
        <v>390</v>
      </c>
      <c r="D190" s="41" t="s">
        <v>383</v>
      </c>
      <c r="E190" s="45" t="s">
        <v>384</v>
      </c>
      <c r="F190" s="45" t="str">
        <f>_xlfn.XLOOKUP(TableFA21323[[#This Row],[Project]],Projects[Project],Projects[Full Name],"")</f>
        <v>Ashley Francis</v>
      </c>
      <c r="G190" s="45" t="str">
        <f>_xlfn.XLOOKUP(TableFA21323[[#This Row],[Project]],Projects[Project],Projects[Work Email (no gmail/hotmail/etc.)],"")</f>
        <v>afran280@fiu.edu</v>
      </c>
      <c r="H190" s="45" t="str">
        <f>_xlfn.XLOOKUP(TableFA21323[[#This Row],[Project]],Projects[Project],Projects[Affiliation (Company/University/Place of Work)],"")</f>
        <v>Florida International University</v>
      </c>
      <c r="I190" s="44">
        <f>COUNTIFS(TableFA21323[Project],TableFA21323[[#This Row],[Project]],TableFA21323[Program],TableFA21323[[#This Row],[Program]])</f>
        <v>5</v>
      </c>
      <c r="J190" s="44">
        <f>COUNTIFS(TableFA21323[Project],TableFA21323[[#This Row],[Project]])</f>
        <v>5</v>
      </c>
      <c r="K190" s="45"/>
    </row>
    <row r="191" spans="1:11" s="41" customFormat="1" x14ac:dyDescent="0.2">
      <c r="A191" s="80"/>
      <c r="B191" s="43" t="s">
        <v>381</v>
      </c>
      <c r="C191" s="43" t="s">
        <v>382</v>
      </c>
      <c r="D191" s="43" t="s">
        <v>383</v>
      </c>
      <c r="E191" s="44" t="s">
        <v>384</v>
      </c>
      <c r="F191" s="44" t="str">
        <f>_xlfn.XLOOKUP(TableFA21323[[#This Row],[Project]],Projects[Project],Projects[Full Name],"")</f>
        <v>Ashley Francis</v>
      </c>
      <c r="G191" s="44" t="str">
        <f>_xlfn.XLOOKUP(TableFA21323[[#This Row],[Project]],Projects[Project],Projects[Work Email (no gmail/hotmail/etc.)],"")</f>
        <v>afran280@fiu.edu</v>
      </c>
      <c r="H191" s="44" t="str">
        <f>_xlfn.XLOOKUP(TableFA21323[[#This Row],[Project]],Projects[Project],Projects[Affiliation (Company/University/Place of Work)],"")</f>
        <v>Florida International University</v>
      </c>
      <c r="I191" s="44">
        <f>COUNTIFS(TableFA21323[Project],TableFA21323[[#This Row],[Project]],TableFA21323[Program],TableFA21323[[#This Row],[Program]])</f>
        <v>5</v>
      </c>
      <c r="J191" s="44">
        <f>COUNTIFS(TableFA21323[Project],TableFA21323[[#This Row],[Project]])</f>
        <v>5</v>
      </c>
      <c r="K191" s="45"/>
    </row>
    <row r="192" spans="1:11" s="41" customFormat="1" x14ac:dyDescent="0.2">
      <c r="A192" s="80"/>
      <c r="B192" s="41" t="s">
        <v>391</v>
      </c>
      <c r="C192" s="41" t="s">
        <v>392</v>
      </c>
      <c r="D192" s="41" t="s">
        <v>383</v>
      </c>
      <c r="E192" s="45" t="s">
        <v>384</v>
      </c>
      <c r="F192" s="45" t="str">
        <f>_xlfn.XLOOKUP(TableFA21323[[#This Row],[Project]],Projects[Project],Projects[Full Name],"")</f>
        <v>Ashley Francis</v>
      </c>
      <c r="G192" s="45" t="str">
        <f>_xlfn.XLOOKUP(TableFA21323[[#This Row],[Project]],Projects[Project],Projects[Work Email (no gmail/hotmail/etc.)],"")</f>
        <v>afran280@fiu.edu</v>
      </c>
      <c r="H192" s="45" t="str">
        <f>_xlfn.XLOOKUP(TableFA21323[[#This Row],[Project]],Projects[Project],Projects[Affiliation (Company/University/Place of Work)],"")</f>
        <v>Florida International University</v>
      </c>
      <c r="I192" s="44">
        <f>COUNTIFS(TableFA21323[Project],TableFA21323[[#This Row],[Project]],TableFA21323[Program],TableFA21323[[#This Row],[Program]])</f>
        <v>5</v>
      </c>
      <c r="J192" s="44">
        <f>COUNTIFS(TableFA21323[Project],TableFA21323[[#This Row],[Project]])</f>
        <v>5</v>
      </c>
      <c r="K192" s="45"/>
    </row>
    <row r="193" spans="1:11" x14ac:dyDescent="0.2">
      <c r="E193" s="1"/>
      <c r="F193" s="1"/>
      <c r="G193" s="1"/>
      <c r="H193" s="1"/>
      <c r="I193" s="1"/>
      <c r="J193" s="1"/>
      <c r="K193" s="1"/>
    </row>
    <row r="194" spans="1:11" s="41" customFormat="1" x14ac:dyDescent="0.2">
      <c r="A194" s="80">
        <v>35</v>
      </c>
      <c r="B194" s="41" t="s">
        <v>396</v>
      </c>
      <c r="C194" s="41" t="s">
        <v>397</v>
      </c>
      <c r="D194" s="41" t="s">
        <v>383</v>
      </c>
      <c r="E194" s="45" t="s">
        <v>395</v>
      </c>
      <c r="F194" s="45" t="str">
        <f>_xlfn.XLOOKUP(TableFA21323[[#This Row],[Project]],Projects[Project],Projects[Full Name],"")</f>
        <v>Isis Gomez</v>
      </c>
      <c r="G194" s="45" t="str">
        <f>_xlfn.XLOOKUP(TableFA21323[[#This Row],[Project]],Projects[Project],Projects[Work Email (no gmail/hotmail/etc.)],"")</f>
        <v>igome062@fiu.edu</v>
      </c>
      <c r="H194" s="45" t="str">
        <f>_xlfn.XLOOKUP(TableFA21323[[#This Row],[Project]],Projects[Project],Projects[Affiliation (Company/University/Place of Work)],"")</f>
        <v>Florida International University</v>
      </c>
      <c r="I194" s="44">
        <f>COUNTIFS(TableFA21323[Project],TableFA21323[[#This Row],[Project]],TableFA21323[Program],TableFA21323[[#This Row],[Program]])</f>
        <v>5</v>
      </c>
      <c r="J194" s="44">
        <f>COUNTIFS(TableFA21323[Project],TableFA21323[[#This Row],[Project]])</f>
        <v>5</v>
      </c>
      <c r="K194" s="45"/>
    </row>
    <row r="195" spans="1:11" s="41" customFormat="1" x14ac:dyDescent="0.2">
      <c r="A195" s="80"/>
      <c r="B195" s="43" t="s">
        <v>393</v>
      </c>
      <c r="C195" s="43" t="s">
        <v>394</v>
      </c>
      <c r="D195" s="43" t="s">
        <v>383</v>
      </c>
      <c r="E195" s="44" t="s">
        <v>395</v>
      </c>
      <c r="F195" s="45" t="str">
        <f>_xlfn.XLOOKUP(TableFA21323[[#This Row],[Project]],Projects[Project],Projects[Full Name],"")</f>
        <v>Isis Gomez</v>
      </c>
      <c r="G195" s="45" t="str">
        <f>_xlfn.XLOOKUP(TableFA21323[[#This Row],[Project]],Projects[Project],Projects[Work Email (no gmail/hotmail/etc.)],"")</f>
        <v>igome062@fiu.edu</v>
      </c>
      <c r="H195" s="45" t="str">
        <f>_xlfn.XLOOKUP(TableFA21323[[#This Row],[Project]],Projects[Project],Projects[Affiliation (Company/University/Place of Work)],"")</f>
        <v>Florida International University</v>
      </c>
      <c r="I195" s="44">
        <f>COUNTIFS(TableFA21323[Project],TableFA21323[[#This Row],[Project]],TableFA21323[Program],TableFA21323[[#This Row],[Program]])</f>
        <v>5</v>
      </c>
      <c r="J195" s="44">
        <f>COUNTIFS(TableFA21323[Project],TableFA21323[[#This Row],[Project]])</f>
        <v>5</v>
      </c>
      <c r="K195" s="45"/>
    </row>
    <row r="196" spans="1:11" s="41" customFormat="1" x14ac:dyDescent="0.2">
      <c r="A196" s="80"/>
      <c r="B196" s="41" t="s">
        <v>398</v>
      </c>
      <c r="C196" s="41" t="s">
        <v>399</v>
      </c>
      <c r="D196" s="41" t="s">
        <v>383</v>
      </c>
      <c r="E196" s="45" t="s">
        <v>395</v>
      </c>
      <c r="F196" s="45" t="str">
        <f>_xlfn.XLOOKUP(TableFA21323[[#This Row],[Project]],Projects[Project],Projects[Full Name],"")</f>
        <v>Isis Gomez</v>
      </c>
      <c r="G196" s="45" t="str">
        <f>_xlfn.XLOOKUP(TableFA21323[[#This Row],[Project]],Projects[Project],Projects[Work Email (no gmail/hotmail/etc.)],"")</f>
        <v>igome062@fiu.edu</v>
      </c>
      <c r="H196" s="45" t="str">
        <f>_xlfn.XLOOKUP(TableFA21323[[#This Row],[Project]],Projects[Project],Projects[Affiliation (Company/University/Place of Work)],"")</f>
        <v>Florida International University</v>
      </c>
      <c r="I196" s="44">
        <f>COUNTIFS(TableFA21323[Project],TableFA21323[[#This Row],[Project]],TableFA21323[Program],TableFA21323[[#This Row],[Program]])</f>
        <v>5</v>
      </c>
      <c r="J196" s="44">
        <f>COUNTIFS(TableFA21323[Project],TableFA21323[[#This Row],[Project]])</f>
        <v>5</v>
      </c>
      <c r="K196" s="45"/>
    </row>
    <row r="197" spans="1:11" s="49" customFormat="1" x14ac:dyDescent="0.2">
      <c r="A197" s="80"/>
      <c r="B197" s="41" t="s">
        <v>400</v>
      </c>
      <c r="C197" s="41" t="s">
        <v>401</v>
      </c>
      <c r="D197" s="41" t="s">
        <v>383</v>
      </c>
      <c r="E197" s="45" t="s">
        <v>395</v>
      </c>
      <c r="F197" s="45" t="str">
        <f>_xlfn.XLOOKUP(TableFA21323[[#This Row],[Project]],Projects[Project],Projects[Full Name],"")</f>
        <v>Isis Gomez</v>
      </c>
      <c r="G197" s="45" t="str">
        <f>_xlfn.XLOOKUP(TableFA21323[[#This Row],[Project]],Projects[Project],Projects[Work Email (no gmail/hotmail/etc.)],"")</f>
        <v>igome062@fiu.edu</v>
      </c>
      <c r="H197" s="45" t="str">
        <f>_xlfn.XLOOKUP(TableFA21323[[#This Row],[Project]],Projects[Project],Projects[Affiliation (Company/University/Place of Work)],"")</f>
        <v>Florida International University</v>
      </c>
      <c r="I197" s="44">
        <f>COUNTIFS(TableFA21323[Project],TableFA21323[[#This Row],[Project]],TableFA21323[Program],TableFA21323[[#This Row],[Program]])</f>
        <v>5</v>
      </c>
      <c r="J197" s="44">
        <f>COUNTIFS(TableFA21323[Project],TableFA21323[[#This Row],[Project]])</f>
        <v>5</v>
      </c>
      <c r="K197" s="45"/>
    </row>
    <row r="198" spans="1:11" s="48" customFormat="1" x14ac:dyDescent="0.2">
      <c r="A198" s="80"/>
      <c r="B198" s="41" t="s">
        <v>402</v>
      </c>
      <c r="C198" s="41" t="s">
        <v>403</v>
      </c>
      <c r="D198" s="41" t="s">
        <v>383</v>
      </c>
      <c r="E198" s="45" t="s">
        <v>395</v>
      </c>
      <c r="F198" s="45" t="str">
        <f>_xlfn.XLOOKUP(TableFA21323[[#This Row],[Project]],Projects[Project],Projects[Full Name],"")</f>
        <v>Isis Gomez</v>
      </c>
      <c r="G198" s="45" t="str">
        <f>_xlfn.XLOOKUP(TableFA21323[[#This Row],[Project]],Projects[Project],Projects[Work Email (no gmail/hotmail/etc.)],"")</f>
        <v>igome062@fiu.edu</v>
      </c>
      <c r="H198" s="45" t="str">
        <f>_xlfn.XLOOKUP(TableFA21323[[#This Row],[Project]],Projects[Project],Projects[Affiliation (Company/University/Place of Work)],"")</f>
        <v>Florida International University</v>
      </c>
      <c r="I198" s="44">
        <f>COUNTIFS(TableFA21323[Project],TableFA21323[[#This Row],[Project]],TableFA21323[Program],TableFA21323[[#This Row],[Program]])</f>
        <v>5</v>
      </c>
      <c r="J198" s="44">
        <f>COUNTIFS(TableFA21323[Project],TableFA21323[[#This Row],[Project]])</f>
        <v>5</v>
      </c>
      <c r="K198" s="45"/>
    </row>
    <row r="199" spans="1:11" s="2" customFormat="1" x14ac:dyDescent="0.2">
      <c r="B199"/>
      <c r="C199"/>
      <c r="D199"/>
      <c r="E199" s="1"/>
      <c r="F199" s="1"/>
      <c r="G199" s="1"/>
      <c r="H199" s="1"/>
      <c r="I199" s="1"/>
      <c r="J199" s="1"/>
      <c r="K199" s="1"/>
    </row>
    <row r="200" spans="1:11" s="41" customFormat="1" x14ac:dyDescent="0.2">
      <c r="A200" s="80">
        <v>36</v>
      </c>
      <c r="B200" s="41" t="s">
        <v>407</v>
      </c>
      <c r="C200" s="41" t="s">
        <v>408</v>
      </c>
      <c r="D200" s="41" t="s">
        <v>383</v>
      </c>
      <c r="E200" s="45" t="s">
        <v>406</v>
      </c>
      <c r="F200" s="45" t="str">
        <f>_xlfn.XLOOKUP(TableFA21323[[#This Row],[Project]],Projects[Project],Projects[Full Name],"")</f>
        <v>Mateo Julian Escobar</v>
      </c>
      <c r="G200" s="45" t="str">
        <f>_xlfn.XLOOKUP(TableFA21323[[#This Row],[Project]],Projects[Project],Projects[Work Email (no gmail/hotmail/etc.)],"")</f>
        <v>mesco114@fiu.edu</v>
      </c>
      <c r="H200" s="45" t="str">
        <f>_xlfn.XLOOKUP(TableFA21323[[#This Row],[Project]],Projects[Project],Projects[Affiliation (Company/University/Place of Work)],"")</f>
        <v>Florida International University</v>
      </c>
      <c r="I200" s="44">
        <f>COUNTIFS(TableFA21323[Project],TableFA21323[[#This Row],[Project]],TableFA21323[Program],TableFA21323[[#This Row],[Program]])</f>
        <v>5</v>
      </c>
      <c r="J200" s="44">
        <f>COUNTIFS(TableFA21323[Project],TableFA21323[[#This Row],[Project]])</f>
        <v>5</v>
      </c>
      <c r="K200" s="45"/>
    </row>
    <row r="201" spans="1:11" s="41" customFormat="1" x14ac:dyDescent="0.2">
      <c r="A201" s="80"/>
      <c r="B201" s="41" t="s">
        <v>409</v>
      </c>
      <c r="C201" s="41" t="s">
        <v>410</v>
      </c>
      <c r="D201" s="41" t="s">
        <v>383</v>
      </c>
      <c r="E201" s="45" t="s">
        <v>406</v>
      </c>
      <c r="F201" s="45" t="str">
        <f>_xlfn.XLOOKUP(TableFA21323[[#This Row],[Project]],Projects[Project],Projects[Full Name],"")</f>
        <v>Mateo Julian Escobar</v>
      </c>
      <c r="G201" s="45" t="str">
        <f>_xlfn.XLOOKUP(TableFA21323[[#This Row],[Project]],Projects[Project],Projects[Work Email (no gmail/hotmail/etc.)],"")</f>
        <v>mesco114@fiu.edu</v>
      </c>
      <c r="H201" s="45" t="str">
        <f>_xlfn.XLOOKUP(TableFA21323[[#This Row],[Project]],Projects[Project],Projects[Affiliation (Company/University/Place of Work)],"")</f>
        <v>Florida International University</v>
      </c>
      <c r="I201" s="44">
        <f>COUNTIFS(TableFA21323[Project],TableFA21323[[#This Row],[Project]],TableFA21323[Program],TableFA21323[[#This Row],[Program]])</f>
        <v>5</v>
      </c>
      <c r="J201" s="44">
        <f>COUNTIFS(TableFA21323[Project],TableFA21323[[#This Row],[Project]])</f>
        <v>5</v>
      </c>
      <c r="K201" s="45"/>
    </row>
    <row r="202" spans="1:11" s="41" customFormat="1" x14ac:dyDescent="0.2">
      <c r="A202" s="80"/>
      <c r="B202" s="43" t="s">
        <v>404</v>
      </c>
      <c r="C202" s="43" t="s">
        <v>405</v>
      </c>
      <c r="D202" s="43" t="s">
        <v>383</v>
      </c>
      <c r="E202" s="44" t="s">
        <v>406</v>
      </c>
      <c r="F202" s="45" t="str">
        <f>_xlfn.XLOOKUP(TableFA21323[[#This Row],[Project]],Projects[Project],Projects[Full Name],"")</f>
        <v>Mateo Julian Escobar</v>
      </c>
      <c r="G202" s="45" t="str">
        <f>_xlfn.XLOOKUP(TableFA21323[[#This Row],[Project]],Projects[Project],Projects[Work Email (no gmail/hotmail/etc.)],"")</f>
        <v>mesco114@fiu.edu</v>
      </c>
      <c r="H202" s="45" t="str">
        <f>_xlfn.XLOOKUP(TableFA21323[[#This Row],[Project]],Projects[Project],Projects[Affiliation (Company/University/Place of Work)],"")</f>
        <v>Florida International University</v>
      </c>
      <c r="I202" s="44">
        <f>COUNTIFS(TableFA21323[Project],TableFA21323[[#This Row],[Project]],TableFA21323[Program],TableFA21323[[#This Row],[Program]])</f>
        <v>5</v>
      </c>
      <c r="J202" s="44">
        <f>COUNTIFS(TableFA21323[Project],TableFA21323[[#This Row],[Project]])</f>
        <v>5</v>
      </c>
      <c r="K202" s="45"/>
    </row>
    <row r="203" spans="1:11" s="41" customFormat="1" x14ac:dyDescent="0.2">
      <c r="A203" s="80"/>
      <c r="B203" s="41" t="s">
        <v>411</v>
      </c>
      <c r="C203" s="41" t="s">
        <v>412</v>
      </c>
      <c r="D203" s="41" t="s">
        <v>383</v>
      </c>
      <c r="E203" s="45" t="s">
        <v>406</v>
      </c>
      <c r="F203" s="45" t="str">
        <f>_xlfn.XLOOKUP(TableFA21323[[#This Row],[Project]],Projects[Project],Projects[Full Name],"")</f>
        <v>Mateo Julian Escobar</v>
      </c>
      <c r="G203" s="45" t="str">
        <f>_xlfn.XLOOKUP(TableFA21323[[#This Row],[Project]],Projects[Project],Projects[Work Email (no gmail/hotmail/etc.)],"")</f>
        <v>mesco114@fiu.edu</v>
      </c>
      <c r="H203" s="45" t="str">
        <f>_xlfn.XLOOKUP(TableFA21323[[#This Row],[Project]],Projects[Project],Projects[Affiliation (Company/University/Place of Work)],"")</f>
        <v>Florida International University</v>
      </c>
      <c r="I203" s="44">
        <f>COUNTIFS(TableFA21323[Project],TableFA21323[[#This Row],[Project]],TableFA21323[Program],TableFA21323[[#This Row],[Program]])</f>
        <v>5</v>
      </c>
      <c r="J203" s="44">
        <f>COUNTIFS(TableFA21323[Project],TableFA21323[[#This Row],[Project]])</f>
        <v>5</v>
      </c>
      <c r="K203" s="45"/>
    </row>
    <row r="204" spans="1:11" s="41" customFormat="1" x14ac:dyDescent="0.2">
      <c r="A204" s="80"/>
      <c r="B204" s="41" t="s">
        <v>413</v>
      </c>
      <c r="C204" s="41" t="s">
        <v>414</v>
      </c>
      <c r="D204" s="41" t="s">
        <v>383</v>
      </c>
      <c r="E204" s="53" t="s">
        <v>406</v>
      </c>
      <c r="F204" s="45" t="str">
        <f>_xlfn.XLOOKUP(TableFA21323[[#This Row],[Project]],Projects[Project],Projects[Full Name],"")</f>
        <v>Mateo Julian Escobar</v>
      </c>
      <c r="G204" s="45" t="str">
        <f>_xlfn.XLOOKUP(TableFA21323[[#This Row],[Project]],Projects[Project],Projects[Work Email (no gmail/hotmail/etc.)],"")</f>
        <v>mesco114@fiu.edu</v>
      </c>
      <c r="H204" s="45" t="str">
        <f>_xlfn.XLOOKUP(TableFA21323[[#This Row],[Project]],Projects[Project],Projects[Affiliation (Company/University/Place of Work)],"")</f>
        <v>Florida International University</v>
      </c>
      <c r="I204" s="44">
        <f>COUNTIFS(TableFA21323[Project],TableFA21323[[#This Row],[Project]],TableFA21323[Program],TableFA21323[[#This Row],[Program]])</f>
        <v>5</v>
      </c>
      <c r="J204" s="44">
        <f>COUNTIFS(TableFA21323[Project],TableFA21323[[#This Row],[Project]])</f>
        <v>5</v>
      </c>
      <c r="K204" s="45"/>
    </row>
    <row r="205" spans="1:11" x14ac:dyDescent="0.2">
      <c r="F205" s="1"/>
      <c r="G205" s="1"/>
      <c r="H205" s="1"/>
      <c r="I205" s="1"/>
      <c r="J205" s="1"/>
      <c r="K205" s="1"/>
    </row>
    <row r="206" spans="1:11" s="41" customFormat="1" ht="14.25" customHeight="1" x14ac:dyDescent="0.2">
      <c r="A206" s="80">
        <v>37</v>
      </c>
      <c r="B206" s="41" t="s">
        <v>418</v>
      </c>
      <c r="C206" s="41" t="s">
        <v>419</v>
      </c>
      <c r="D206" s="41" t="s">
        <v>383</v>
      </c>
      <c r="E206" s="45" t="s">
        <v>417</v>
      </c>
      <c r="F206" s="45" t="str">
        <f>_xlfn.XLOOKUP(TableFA21323[[#This Row],[Project]],Projects[Project],Projects[Full Name],"")</f>
        <v>Mauricio Ballart</v>
      </c>
      <c r="G206" s="45" t="str">
        <f>_xlfn.XLOOKUP(TableFA21323[[#This Row],[Project]],Projects[Project],Projects[Work Email (no gmail/hotmail/etc.)],"")</f>
        <v>Mball074@fiu.edu</v>
      </c>
      <c r="H206" s="45" t="str">
        <f>_xlfn.XLOOKUP(TableFA21323[[#This Row],[Project]],Projects[Project],Projects[Affiliation (Company/University/Place of Work)],"")</f>
        <v>Florida International University</v>
      </c>
      <c r="I206" s="44">
        <f>COUNTIFS(TableFA21323[Project],TableFA21323[[#This Row],[Project]],TableFA21323[Program],TableFA21323[[#This Row],[Program]])</f>
        <v>5</v>
      </c>
      <c r="J206" s="44">
        <f>COUNTIFS(TableFA21323[Project],TableFA21323[[#This Row],[Project]])</f>
        <v>5</v>
      </c>
      <c r="K206" s="45"/>
    </row>
    <row r="207" spans="1:11" s="41" customFormat="1" x14ac:dyDescent="0.2">
      <c r="A207" s="80"/>
      <c r="B207" s="41" t="s">
        <v>415</v>
      </c>
      <c r="C207" s="41" t="s">
        <v>416</v>
      </c>
      <c r="D207" s="41" t="s">
        <v>383</v>
      </c>
      <c r="E207" s="45" t="s">
        <v>417</v>
      </c>
      <c r="F207" s="45" t="str">
        <f>_xlfn.XLOOKUP(TableFA21323[[#This Row],[Project]],Projects[Project],Projects[Full Name],"")</f>
        <v>Mauricio Ballart</v>
      </c>
      <c r="G207" s="45" t="str">
        <f>_xlfn.XLOOKUP(TableFA21323[[#This Row],[Project]],Projects[Project],Projects[Work Email (no gmail/hotmail/etc.)],"")</f>
        <v>Mball074@fiu.edu</v>
      </c>
      <c r="H207" s="45" t="str">
        <f>_xlfn.XLOOKUP(TableFA21323[[#This Row],[Project]],Projects[Project],Projects[Affiliation (Company/University/Place of Work)],"")</f>
        <v>Florida International University</v>
      </c>
      <c r="I207" s="44">
        <f>COUNTIFS(TableFA21323[Project],TableFA21323[[#This Row],[Project]],TableFA21323[Program],TableFA21323[[#This Row],[Program]])</f>
        <v>5</v>
      </c>
      <c r="J207" s="44">
        <f>COUNTIFS(TableFA21323[Project],TableFA21323[[#This Row],[Project]])</f>
        <v>5</v>
      </c>
      <c r="K207" s="45"/>
    </row>
    <row r="208" spans="1:11" s="41" customFormat="1" x14ac:dyDescent="0.2">
      <c r="A208" s="80"/>
      <c r="B208" s="41" t="s">
        <v>420</v>
      </c>
      <c r="C208" s="41" t="s">
        <v>421</v>
      </c>
      <c r="D208" s="41" t="s">
        <v>383</v>
      </c>
      <c r="E208" s="45" t="s">
        <v>417</v>
      </c>
      <c r="F208" s="45" t="str">
        <f>_xlfn.XLOOKUP(TableFA21323[[#This Row],[Project]],Projects[Project],Projects[Full Name],"")</f>
        <v>Mauricio Ballart</v>
      </c>
      <c r="G208" s="45" t="str">
        <f>_xlfn.XLOOKUP(TableFA21323[[#This Row],[Project]],Projects[Project],Projects[Work Email (no gmail/hotmail/etc.)],"")</f>
        <v>Mball074@fiu.edu</v>
      </c>
      <c r="H208" s="45" t="str">
        <f>_xlfn.XLOOKUP(TableFA21323[[#This Row],[Project]],Projects[Project],Projects[Affiliation (Company/University/Place of Work)],"")</f>
        <v>Florida International University</v>
      </c>
      <c r="I208" s="44">
        <f>COUNTIFS(TableFA21323[Project],TableFA21323[[#This Row],[Project]],TableFA21323[Program],TableFA21323[[#This Row],[Program]])</f>
        <v>5</v>
      </c>
      <c r="J208" s="44">
        <f>COUNTIFS(TableFA21323[Project],TableFA21323[[#This Row],[Project]])</f>
        <v>5</v>
      </c>
      <c r="K208" s="45"/>
    </row>
    <row r="209" spans="1:11" s="41" customFormat="1" x14ac:dyDescent="0.2">
      <c r="A209" s="80"/>
      <c r="B209" s="41" t="s">
        <v>422</v>
      </c>
      <c r="C209" s="41" t="s">
        <v>423</v>
      </c>
      <c r="D209" s="41" t="s">
        <v>383</v>
      </c>
      <c r="E209" s="45" t="s">
        <v>417</v>
      </c>
      <c r="F209" s="45" t="str">
        <f>_xlfn.XLOOKUP(TableFA21323[[#This Row],[Project]],Projects[Project],Projects[Full Name],"")</f>
        <v>Mauricio Ballart</v>
      </c>
      <c r="G209" s="45" t="str">
        <f>_xlfn.XLOOKUP(TableFA21323[[#This Row],[Project]],Projects[Project],Projects[Work Email (no gmail/hotmail/etc.)],"")</f>
        <v>Mball074@fiu.edu</v>
      </c>
      <c r="H209" s="45" t="str">
        <f>_xlfn.XLOOKUP(TableFA21323[[#This Row],[Project]],Projects[Project],Projects[Affiliation (Company/University/Place of Work)],"")</f>
        <v>Florida International University</v>
      </c>
      <c r="I209" s="44">
        <f>COUNTIFS(TableFA21323[Project],TableFA21323[[#This Row],[Project]],TableFA21323[Program],TableFA21323[[#This Row],[Program]])</f>
        <v>5</v>
      </c>
      <c r="J209" s="44">
        <f>COUNTIFS(TableFA21323[Project],TableFA21323[[#This Row],[Project]])</f>
        <v>5</v>
      </c>
      <c r="K209" s="45"/>
    </row>
    <row r="210" spans="1:11" s="41" customFormat="1" x14ac:dyDescent="0.2">
      <c r="A210" s="80"/>
      <c r="B210" s="41" t="s">
        <v>424</v>
      </c>
      <c r="C210" s="41" t="s">
        <v>425</v>
      </c>
      <c r="D210" s="41" t="s">
        <v>383</v>
      </c>
      <c r="E210" s="45" t="s">
        <v>417</v>
      </c>
      <c r="F210" s="45" t="str">
        <f>_xlfn.XLOOKUP(TableFA21323[[#This Row],[Project]],Projects[Project],Projects[Full Name],"")</f>
        <v>Mauricio Ballart</v>
      </c>
      <c r="G210" s="45" t="str">
        <f>_xlfn.XLOOKUP(TableFA21323[[#This Row],[Project]],Projects[Project],Projects[Work Email (no gmail/hotmail/etc.)],"")</f>
        <v>Mball074@fiu.edu</v>
      </c>
      <c r="H210" s="45" t="str">
        <f>_xlfn.XLOOKUP(TableFA21323[[#This Row],[Project]],Projects[Project],Projects[Affiliation (Company/University/Place of Work)],"")</f>
        <v>Florida International University</v>
      </c>
      <c r="I210" s="44">
        <f>COUNTIFS(TableFA21323[Project],TableFA21323[[#This Row],[Project]],TableFA21323[Program],TableFA21323[[#This Row],[Program]])</f>
        <v>5</v>
      </c>
      <c r="J210" s="44">
        <f>COUNTIFS(TableFA21323[Project],TableFA21323[[#This Row],[Project]])</f>
        <v>5</v>
      </c>
      <c r="K210" s="45"/>
    </row>
    <row r="211" spans="1:11" x14ac:dyDescent="0.2">
      <c r="E211" s="1"/>
      <c r="F211" s="1"/>
      <c r="G211" s="1"/>
      <c r="H211" s="1"/>
      <c r="I211" s="1"/>
      <c r="J211" s="1"/>
      <c r="K211" s="1"/>
    </row>
    <row r="212" spans="1:11" s="42" customFormat="1" x14ac:dyDescent="0.2">
      <c r="A212" s="84">
        <v>38</v>
      </c>
      <c r="B212" s="42" t="s">
        <v>429</v>
      </c>
      <c r="C212" s="42" t="s">
        <v>430</v>
      </c>
      <c r="D212" s="42" t="s">
        <v>383</v>
      </c>
      <c r="E212" s="54" t="s">
        <v>428</v>
      </c>
      <c r="F212" s="54" t="str">
        <f>_xlfn.XLOOKUP(TableFA21323[[#This Row],[Project]],Projects[Project],Projects[Full Name],"")</f>
        <v>Matthew Chaar</v>
      </c>
      <c r="G212" s="54" t="str">
        <f>_xlfn.XLOOKUP(TableFA21323[[#This Row],[Project]],Projects[Project],Projects[Work Email (no gmail/hotmail/etc.)],"")</f>
        <v>mchaa003@fiu.edu</v>
      </c>
      <c r="H212" s="54" t="str">
        <f>_xlfn.XLOOKUP(TableFA21323[[#This Row],[Project]],Projects[Project],Projects[Affiliation (Company/University/Place of Work)],"")</f>
        <v>Florida International University</v>
      </c>
      <c r="I212" s="55">
        <f>COUNTIFS(TableFA21323[Project],TableFA21323[[#This Row],[Project]],TableFA21323[Program],TableFA21323[[#This Row],[Program]])</f>
        <v>5</v>
      </c>
      <c r="J212" s="55">
        <f>COUNTIFS(TableFA21323[Project],TableFA21323[[#This Row],[Project]])</f>
        <v>5</v>
      </c>
      <c r="K212" s="54"/>
    </row>
    <row r="213" spans="1:11" s="42" customFormat="1" x14ac:dyDescent="0.2">
      <c r="A213" s="84"/>
      <c r="B213" s="56" t="s">
        <v>426</v>
      </c>
      <c r="C213" s="56" t="s">
        <v>427</v>
      </c>
      <c r="D213" s="56" t="s">
        <v>383</v>
      </c>
      <c r="E213" s="55" t="s">
        <v>428</v>
      </c>
      <c r="F213" s="55" t="str">
        <f>_xlfn.XLOOKUP(TableFA21323[[#This Row],[Project]],Projects[Project],Projects[Full Name],"")</f>
        <v>Matthew Chaar</v>
      </c>
      <c r="G213" s="55" t="str">
        <f>_xlfn.XLOOKUP(TableFA21323[[#This Row],[Project]],Projects[Project],Projects[Work Email (no gmail/hotmail/etc.)],"")</f>
        <v>mchaa003@fiu.edu</v>
      </c>
      <c r="H213" s="55" t="str">
        <f>_xlfn.XLOOKUP(TableFA21323[[#This Row],[Project]],Projects[Project],Projects[Affiliation (Company/University/Place of Work)],"")</f>
        <v>Florida International University</v>
      </c>
      <c r="I213" s="55">
        <f>COUNTIFS(TableFA21323[Project],TableFA21323[[#This Row],[Project]],TableFA21323[Program],TableFA21323[[#This Row],[Program]])</f>
        <v>5</v>
      </c>
      <c r="J213" s="55">
        <f>COUNTIFS(TableFA21323[Project],TableFA21323[[#This Row],[Project]])</f>
        <v>5</v>
      </c>
      <c r="K213" s="54"/>
    </row>
    <row r="214" spans="1:11" s="42" customFormat="1" x14ac:dyDescent="0.2">
      <c r="A214" s="84"/>
      <c r="B214" s="42" t="s">
        <v>431</v>
      </c>
      <c r="C214" s="42" t="s">
        <v>432</v>
      </c>
      <c r="D214" s="42" t="s">
        <v>383</v>
      </c>
      <c r="E214" s="54" t="s">
        <v>428</v>
      </c>
      <c r="F214" s="54" t="str">
        <f>_xlfn.XLOOKUP(TableFA21323[[#This Row],[Project]],Projects[Project],Projects[Full Name],"")</f>
        <v>Matthew Chaar</v>
      </c>
      <c r="G214" s="54" t="str">
        <f>_xlfn.XLOOKUP(TableFA21323[[#This Row],[Project]],Projects[Project],Projects[Work Email (no gmail/hotmail/etc.)],"")</f>
        <v>mchaa003@fiu.edu</v>
      </c>
      <c r="H214" s="54" t="str">
        <f>_xlfn.XLOOKUP(TableFA21323[[#This Row],[Project]],Projects[Project],Projects[Affiliation (Company/University/Place of Work)],"")</f>
        <v>Florida International University</v>
      </c>
      <c r="I214" s="55">
        <f>COUNTIFS(TableFA21323[Project],TableFA21323[[#This Row],[Project]],TableFA21323[Program],TableFA21323[[#This Row],[Program]])</f>
        <v>5</v>
      </c>
      <c r="J214" s="55">
        <f>COUNTIFS(TableFA21323[Project],TableFA21323[[#This Row],[Project]])</f>
        <v>5</v>
      </c>
      <c r="K214" s="54"/>
    </row>
    <row r="215" spans="1:11" s="42" customFormat="1" x14ac:dyDescent="0.2">
      <c r="A215" s="84"/>
      <c r="B215" s="42" t="s">
        <v>433</v>
      </c>
      <c r="C215" s="42" t="s">
        <v>434</v>
      </c>
      <c r="D215" s="42" t="s">
        <v>383</v>
      </c>
      <c r="E215" s="54" t="s">
        <v>428</v>
      </c>
      <c r="F215" s="54" t="str">
        <f>_xlfn.XLOOKUP(TableFA21323[[#This Row],[Project]],Projects[Project],Projects[Full Name],"")</f>
        <v>Matthew Chaar</v>
      </c>
      <c r="G215" s="54" t="str">
        <f>_xlfn.XLOOKUP(TableFA21323[[#This Row],[Project]],Projects[Project],Projects[Work Email (no gmail/hotmail/etc.)],"")</f>
        <v>mchaa003@fiu.edu</v>
      </c>
      <c r="H215" s="54" t="str">
        <f>_xlfn.XLOOKUP(TableFA21323[[#This Row],[Project]],Projects[Project],Projects[Affiliation (Company/University/Place of Work)],"")</f>
        <v>Florida International University</v>
      </c>
      <c r="I215" s="55">
        <f>COUNTIFS(TableFA21323[Project],TableFA21323[[#This Row],[Project]],TableFA21323[Program],TableFA21323[[#This Row],[Program]])</f>
        <v>5</v>
      </c>
      <c r="J215" s="55">
        <f>COUNTIFS(TableFA21323[Project],TableFA21323[[#This Row],[Project]])</f>
        <v>5</v>
      </c>
      <c r="K215" s="54"/>
    </row>
    <row r="216" spans="1:11" s="42" customFormat="1" x14ac:dyDescent="0.2">
      <c r="A216" s="84"/>
      <c r="B216" s="42" t="s">
        <v>435</v>
      </c>
      <c r="C216" s="42" t="s">
        <v>436</v>
      </c>
      <c r="D216" s="42" t="s">
        <v>383</v>
      </c>
      <c r="E216" s="54" t="s">
        <v>428</v>
      </c>
      <c r="F216" s="54" t="str">
        <f>_xlfn.XLOOKUP(TableFA21323[[#This Row],[Project]],Projects[Project],Projects[Full Name],"")</f>
        <v>Matthew Chaar</v>
      </c>
      <c r="G216" s="54" t="str">
        <f>_xlfn.XLOOKUP(TableFA21323[[#This Row],[Project]],Projects[Project],Projects[Work Email (no gmail/hotmail/etc.)],"")</f>
        <v>mchaa003@fiu.edu</v>
      </c>
      <c r="H216" s="54" t="str">
        <f>_xlfn.XLOOKUP(TableFA21323[[#This Row],[Project]],Projects[Project],Projects[Affiliation (Company/University/Place of Work)],"")</f>
        <v>Florida International University</v>
      </c>
      <c r="I216" s="55">
        <f>COUNTIFS(TableFA21323[Project],TableFA21323[[#This Row],[Project]],TableFA21323[Program],TableFA21323[[#This Row],[Program]])</f>
        <v>5</v>
      </c>
      <c r="J216" s="55">
        <f>COUNTIFS(TableFA21323[Project],TableFA21323[[#This Row],[Project]])</f>
        <v>5</v>
      </c>
      <c r="K216" s="54"/>
    </row>
    <row r="217" spans="1:11" x14ac:dyDescent="0.2">
      <c r="E217" s="1"/>
      <c r="F217" s="1"/>
      <c r="G217" s="1"/>
      <c r="H217" s="1"/>
      <c r="I217" s="1"/>
      <c r="J217" s="1"/>
      <c r="K217" s="1"/>
    </row>
    <row r="218" spans="1:11" s="41" customFormat="1" x14ac:dyDescent="0.2">
      <c r="A218" s="80">
        <v>39</v>
      </c>
      <c r="B218" s="41" t="s">
        <v>440</v>
      </c>
      <c r="C218" s="41" t="s">
        <v>441</v>
      </c>
      <c r="D218" s="41" t="s">
        <v>383</v>
      </c>
      <c r="E218" s="45" t="s">
        <v>439</v>
      </c>
      <c r="F218" s="45" t="str">
        <f>_xlfn.XLOOKUP(TableFA21323[[#This Row],[Project]],Projects[Project],Projects[Full Name],"")</f>
        <v>Brandon Gerber</v>
      </c>
      <c r="G218" s="45" t="str">
        <f>_xlfn.XLOOKUP(TableFA21323[[#This Row],[Project]],Projects[Project],Projects[Work Email (no gmail/hotmail/etc.)],"")</f>
        <v>bgerb004@fiu.edu</v>
      </c>
      <c r="H218" s="45" t="str">
        <f>_xlfn.XLOOKUP(TableFA21323[[#This Row],[Project]],Projects[Project],Projects[Affiliation (Company/University/Place of Work)],"")</f>
        <v>Florida International University</v>
      </c>
      <c r="I218" s="44">
        <f>COUNTIFS(TableFA21323[Project],TableFA21323[[#This Row],[Project]],TableFA21323[Program],TableFA21323[[#This Row],[Program]])</f>
        <v>5</v>
      </c>
      <c r="J218" s="44">
        <f>COUNTIFS(TableFA21323[Project],TableFA21323[[#This Row],[Project]])</f>
        <v>5</v>
      </c>
      <c r="K218" s="45"/>
    </row>
    <row r="219" spans="1:11" s="41" customFormat="1" x14ac:dyDescent="0.2">
      <c r="A219" s="80"/>
      <c r="B219" s="41" t="s">
        <v>442</v>
      </c>
      <c r="C219" s="41" t="s">
        <v>443</v>
      </c>
      <c r="D219" s="41" t="s">
        <v>383</v>
      </c>
      <c r="E219" s="45" t="s">
        <v>439</v>
      </c>
      <c r="F219" s="45" t="str">
        <f>_xlfn.XLOOKUP(TableFA21323[[#This Row],[Project]],Projects[Project],Projects[Full Name],"")</f>
        <v>Brandon Gerber</v>
      </c>
      <c r="G219" s="45" t="str">
        <f>_xlfn.XLOOKUP(TableFA21323[[#This Row],[Project]],Projects[Project],Projects[Work Email (no gmail/hotmail/etc.)],"")</f>
        <v>bgerb004@fiu.edu</v>
      </c>
      <c r="H219" s="45" t="str">
        <f>_xlfn.XLOOKUP(TableFA21323[[#This Row],[Project]],Projects[Project],Projects[Affiliation (Company/University/Place of Work)],"")</f>
        <v>Florida International University</v>
      </c>
      <c r="I219" s="44">
        <f>COUNTIFS(TableFA21323[Project],TableFA21323[[#This Row],[Project]],TableFA21323[Program],TableFA21323[[#This Row],[Program]])</f>
        <v>5</v>
      </c>
      <c r="J219" s="44">
        <f>COUNTIFS(TableFA21323[Project],TableFA21323[[#This Row],[Project]])</f>
        <v>5</v>
      </c>
      <c r="K219" s="45"/>
    </row>
    <row r="220" spans="1:11" s="41" customFormat="1" x14ac:dyDescent="0.2">
      <c r="A220" s="80"/>
      <c r="B220" s="43" t="s">
        <v>437</v>
      </c>
      <c r="C220" s="43" t="s">
        <v>438</v>
      </c>
      <c r="D220" s="43" t="s">
        <v>383</v>
      </c>
      <c r="E220" s="44" t="s">
        <v>439</v>
      </c>
      <c r="F220" s="45" t="str">
        <f>_xlfn.XLOOKUP(TableFA21323[[#This Row],[Project]],Projects[Project],Projects[Full Name],"")</f>
        <v>Brandon Gerber</v>
      </c>
      <c r="G220" s="45" t="str">
        <f>_xlfn.XLOOKUP(TableFA21323[[#This Row],[Project]],Projects[Project],Projects[Work Email (no gmail/hotmail/etc.)],"")</f>
        <v>bgerb004@fiu.edu</v>
      </c>
      <c r="H220" s="45" t="str">
        <f>_xlfn.XLOOKUP(TableFA21323[[#This Row],[Project]],Projects[Project],Projects[Affiliation (Company/University/Place of Work)],"")</f>
        <v>Florida International University</v>
      </c>
      <c r="I220" s="44">
        <f>COUNTIFS(TableFA21323[Project],TableFA21323[[#This Row],[Project]],TableFA21323[Program],TableFA21323[[#This Row],[Program]])</f>
        <v>5</v>
      </c>
      <c r="J220" s="44">
        <f>COUNTIFS(TableFA21323[Project],TableFA21323[[#This Row],[Project]])</f>
        <v>5</v>
      </c>
      <c r="K220" s="45"/>
    </row>
    <row r="221" spans="1:11" s="41" customFormat="1" x14ac:dyDescent="0.2">
      <c r="A221" s="80"/>
      <c r="B221" s="41" t="s">
        <v>444</v>
      </c>
      <c r="C221" s="41" t="s">
        <v>445</v>
      </c>
      <c r="D221" s="41" t="s">
        <v>383</v>
      </c>
      <c r="E221" s="45" t="s">
        <v>439</v>
      </c>
      <c r="F221" s="45" t="str">
        <f>_xlfn.XLOOKUP(TableFA21323[[#This Row],[Project]],Projects[Project],Projects[Full Name],"")</f>
        <v>Brandon Gerber</v>
      </c>
      <c r="G221" s="45" t="str">
        <f>_xlfn.XLOOKUP(TableFA21323[[#This Row],[Project]],Projects[Project],Projects[Work Email (no gmail/hotmail/etc.)],"")</f>
        <v>bgerb004@fiu.edu</v>
      </c>
      <c r="H221" s="45" t="str">
        <f>_xlfn.XLOOKUP(TableFA21323[[#This Row],[Project]],Projects[Project],Projects[Affiliation (Company/University/Place of Work)],"")</f>
        <v>Florida International University</v>
      </c>
      <c r="I221" s="44">
        <f>COUNTIFS(TableFA21323[Project],TableFA21323[[#This Row],[Project]],TableFA21323[Program],TableFA21323[[#This Row],[Program]])</f>
        <v>5</v>
      </c>
      <c r="J221" s="44">
        <f>COUNTIFS(TableFA21323[Project],TableFA21323[[#This Row],[Project]])</f>
        <v>5</v>
      </c>
      <c r="K221" s="45"/>
    </row>
    <row r="222" spans="1:11" s="41" customFormat="1" x14ac:dyDescent="0.2">
      <c r="A222" s="80"/>
      <c r="B222" s="41" t="s">
        <v>446</v>
      </c>
      <c r="C222" s="41" t="s">
        <v>447</v>
      </c>
      <c r="D222" s="41" t="s">
        <v>383</v>
      </c>
      <c r="E222" s="45" t="s">
        <v>439</v>
      </c>
      <c r="F222" s="45" t="str">
        <f>_xlfn.XLOOKUP(TableFA21323[[#This Row],[Project]],Projects[Project],Projects[Full Name],"")</f>
        <v>Brandon Gerber</v>
      </c>
      <c r="G222" s="45" t="str">
        <f>_xlfn.XLOOKUP(TableFA21323[[#This Row],[Project]],Projects[Project],Projects[Work Email (no gmail/hotmail/etc.)],"")</f>
        <v>bgerb004@fiu.edu</v>
      </c>
      <c r="H222" s="45" t="str">
        <f>_xlfn.XLOOKUP(TableFA21323[[#This Row],[Project]],Projects[Project],Projects[Affiliation (Company/University/Place of Work)],"")</f>
        <v>Florida International University</v>
      </c>
      <c r="I222" s="44">
        <f>COUNTIFS(TableFA21323[Project],TableFA21323[[#This Row],[Project]],TableFA21323[Program],TableFA21323[[#This Row],[Program]])</f>
        <v>5</v>
      </c>
      <c r="J222" s="44">
        <f>COUNTIFS(TableFA21323[Project],TableFA21323[[#This Row],[Project]])</f>
        <v>5</v>
      </c>
      <c r="K222" s="45"/>
    </row>
    <row r="223" spans="1:11" x14ac:dyDescent="0.2">
      <c r="E223" s="1"/>
      <c r="F223" s="1"/>
      <c r="G223" s="1"/>
      <c r="H223" s="1"/>
      <c r="I223" s="1"/>
      <c r="J223" s="1"/>
      <c r="K223" s="1"/>
    </row>
    <row r="224" spans="1:11" s="41" customFormat="1" x14ac:dyDescent="0.2">
      <c r="A224" s="80">
        <v>40</v>
      </c>
      <c r="B224" s="41" t="s">
        <v>451</v>
      </c>
      <c r="C224" s="41" t="s">
        <v>452</v>
      </c>
      <c r="D224" s="41" t="s">
        <v>383</v>
      </c>
      <c r="E224" s="45" t="s">
        <v>450</v>
      </c>
      <c r="F224" s="45" t="str">
        <f>_xlfn.XLOOKUP(TableFA21323[[#This Row],[Project]],Projects[Project],Projects[Full Name],"")</f>
        <v>Weidong Zhu</v>
      </c>
      <c r="G224" s="45" t="str">
        <f>_xlfn.XLOOKUP(TableFA21323[[#This Row],[Project]],Projects[Project],Projects[Work Email (no gmail/hotmail/etc.)],"")</f>
        <v>weizhu@fiu.edu</v>
      </c>
      <c r="H224" s="45" t="str">
        <f>_xlfn.XLOOKUP(TableFA21323[[#This Row],[Project]],Projects[Project],Projects[Affiliation (Company/University/Place of Work)],"")</f>
        <v>KFSCIS at FIU</v>
      </c>
      <c r="I224" s="44">
        <f>COUNTIFS(TableFA21323[Project],TableFA21323[[#This Row],[Project]],TableFA21323[Program],TableFA21323[[#This Row],[Program]])</f>
        <v>5</v>
      </c>
      <c r="J224" s="44">
        <f>COUNTIFS(TableFA21323[Project],TableFA21323[[#This Row],[Project]])</f>
        <v>5</v>
      </c>
      <c r="K224" s="45"/>
    </row>
    <row r="225" spans="1:11" s="43" customFormat="1" x14ac:dyDescent="0.2">
      <c r="A225" s="80"/>
      <c r="B225" s="41" t="s">
        <v>453</v>
      </c>
      <c r="C225" s="41" t="s">
        <v>454</v>
      </c>
      <c r="D225" s="41" t="s">
        <v>383</v>
      </c>
      <c r="E225" s="45" t="s">
        <v>450</v>
      </c>
      <c r="F225" s="45" t="str">
        <f>_xlfn.XLOOKUP(TableFA21323[[#This Row],[Project]],Projects[Project],Projects[Full Name],"")</f>
        <v>Weidong Zhu</v>
      </c>
      <c r="G225" s="45" t="str">
        <f>_xlfn.XLOOKUP(TableFA21323[[#This Row],[Project]],Projects[Project],Projects[Work Email (no gmail/hotmail/etc.)],"")</f>
        <v>weizhu@fiu.edu</v>
      </c>
      <c r="H225" s="45" t="str">
        <f>_xlfn.XLOOKUP(TableFA21323[[#This Row],[Project]],Projects[Project],Projects[Affiliation (Company/University/Place of Work)],"")</f>
        <v>KFSCIS at FIU</v>
      </c>
      <c r="I225" s="44">
        <f>COUNTIFS(TableFA21323[Project],TableFA21323[[#This Row],[Project]],TableFA21323[Program],TableFA21323[[#This Row],[Program]])</f>
        <v>5</v>
      </c>
      <c r="J225" s="44">
        <f>COUNTIFS(TableFA21323[Project],TableFA21323[[#This Row],[Project]])</f>
        <v>5</v>
      </c>
      <c r="K225" s="45"/>
    </row>
    <row r="226" spans="1:11" s="41" customFormat="1" x14ac:dyDescent="0.2">
      <c r="A226" s="80"/>
      <c r="B226" s="41" t="s">
        <v>455</v>
      </c>
      <c r="C226" s="41" t="s">
        <v>456</v>
      </c>
      <c r="D226" s="41" t="s">
        <v>383</v>
      </c>
      <c r="E226" s="45" t="s">
        <v>450</v>
      </c>
      <c r="F226" s="45" t="str">
        <f>_xlfn.XLOOKUP(TableFA21323[[#This Row],[Project]],Projects[Project],Projects[Full Name],"")</f>
        <v>Weidong Zhu</v>
      </c>
      <c r="G226" s="45" t="str">
        <f>_xlfn.XLOOKUP(TableFA21323[[#This Row],[Project]],Projects[Project],Projects[Work Email (no gmail/hotmail/etc.)],"")</f>
        <v>weizhu@fiu.edu</v>
      </c>
      <c r="H226" s="45" t="str">
        <f>_xlfn.XLOOKUP(TableFA21323[[#This Row],[Project]],Projects[Project],Projects[Affiliation (Company/University/Place of Work)],"")</f>
        <v>KFSCIS at FIU</v>
      </c>
      <c r="I226" s="44">
        <f>COUNTIFS(TableFA21323[Project],TableFA21323[[#This Row],[Project]],TableFA21323[Program],TableFA21323[[#This Row],[Program]])</f>
        <v>5</v>
      </c>
      <c r="J226" s="44">
        <f>COUNTIFS(TableFA21323[Project],TableFA21323[[#This Row],[Project]])</f>
        <v>5</v>
      </c>
      <c r="K226" s="45"/>
    </row>
    <row r="227" spans="1:11" s="41" customFormat="1" x14ac:dyDescent="0.2">
      <c r="A227" s="80"/>
      <c r="B227" s="43" t="s">
        <v>448</v>
      </c>
      <c r="C227" s="43" t="s">
        <v>449</v>
      </c>
      <c r="D227" s="43" t="s">
        <v>383</v>
      </c>
      <c r="E227" s="44" t="s">
        <v>450</v>
      </c>
      <c r="F227" s="44" t="str">
        <f>_xlfn.XLOOKUP(TableFA21323[[#This Row],[Project]],Projects[Project],Projects[Full Name],"")</f>
        <v>Weidong Zhu</v>
      </c>
      <c r="G227" s="44" t="str">
        <f>_xlfn.XLOOKUP(TableFA21323[[#This Row],[Project]],Projects[Project],Projects[Work Email (no gmail/hotmail/etc.)],"")</f>
        <v>weizhu@fiu.edu</v>
      </c>
      <c r="H227" s="44" t="str">
        <f>_xlfn.XLOOKUP(TableFA21323[[#This Row],[Project]],Projects[Project],Projects[Affiliation (Company/University/Place of Work)],"")</f>
        <v>KFSCIS at FIU</v>
      </c>
      <c r="I227" s="44">
        <f>COUNTIFS(TableFA21323[Project],TableFA21323[[#This Row],[Project]],TableFA21323[Program],TableFA21323[[#This Row],[Program]])</f>
        <v>5</v>
      </c>
      <c r="J227" s="44">
        <f>COUNTIFS(TableFA21323[Project],TableFA21323[[#This Row],[Project]])</f>
        <v>5</v>
      </c>
      <c r="K227" s="45"/>
    </row>
    <row r="228" spans="1:11" s="41" customFormat="1" x14ac:dyDescent="0.2">
      <c r="A228" s="80"/>
      <c r="B228" s="41" t="s">
        <v>457</v>
      </c>
      <c r="C228" s="41" t="s">
        <v>458</v>
      </c>
      <c r="D228" s="41" t="s">
        <v>383</v>
      </c>
      <c r="E228" s="45" t="s">
        <v>450</v>
      </c>
      <c r="F228" s="45" t="str">
        <f>_xlfn.XLOOKUP(TableFA21323[[#This Row],[Project]],Projects[Project],Projects[Full Name],"")</f>
        <v>Weidong Zhu</v>
      </c>
      <c r="G228" s="45" t="str">
        <f>_xlfn.XLOOKUP(TableFA21323[[#This Row],[Project]],Projects[Project],Projects[Work Email (no gmail/hotmail/etc.)],"")</f>
        <v>weizhu@fiu.edu</v>
      </c>
      <c r="H228" s="45" t="str">
        <f>_xlfn.XLOOKUP(TableFA21323[[#This Row],[Project]],Projects[Project],Projects[Affiliation (Company/University/Place of Work)],"")</f>
        <v>KFSCIS at FIU</v>
      </c>
      <c r="I228" s="44">
        <f>COUNTIFS(TableFA21323[Project],TableFA21323[[#This Row],[Project]],TableFA21323[Program],TableFA21323[[#This Row],[Program]])</f>
        <v>5</v>
      </c>
      <c r="J228" s="44">
        <f>COUNTIFS(TableFA21323[Project],TableFA21323[[#This Row],[Project]])</f>
        <v>5</v>
      </c>
      <c r="K228" s="45"/>
    </row>
    <row r="229" spans="1:11" x14ac:dyDescent="0.2">
      <c r="E229" s="1"/>
      <c r="F229" s="1"/>
      <c r="G229" s="1"/>
      <c r="H229" s="1"/>
      <c r="I229" s="1"/>
      <c r="J229" s="1"/>
      <c r="K229" s="1"/>
    </row>
    <row r="230" spans="1:11" s="41" customFormat="1" x14ac:dyDescent="0.2">
      <c r="A230" s="80">
        <v>41</v>
      </c>
      <c r="B230" s="41" t="s">
        <v>462</v>
      </c>
      <c r="C230" s="41" t="s">
        <v>463</v>
      </c>
      <c r="D230" s="41" t="s">
        <v>383</v>
      </c>
      <c r="E230" s="45" t="s">
        <v>461</v>
      </c>
      <c r="F230" s="45" t="str">
        <f>_xlfn.XLOOKUP(TableFA21323[[#This Row],[Project]],Projects[Project],Projects[Full Name],"")</f>
        <v>Stefan Dumitrasku</v>
      </c>
      <c r="G230" s="45" t="str">
        <f>_xlfn.XLOOKUP(TableFA21323[[#This Row],[Project]],Projects[Project],Projects[Work Email (no gmail/hotmail/etc.)],"")</f>
        <v>sdumi001@fiu.edu</v>
      </c>
      <c r="H230" s="45" t="str">
        <f>_xlfn.XLOOKUP(TableFA21323[[#This Row],[Project]],Projects[Project],Projects[Affiliation (Company/University/Place of Work)],"")</f>
        <v>Florida International University</v>
      </c>
      <c r="I230" s="44">
        <f>COUNTIFS(TableFA21323[Project],TableFA21323[[#This Row],[Project]],TableFA21323[Program],TableFA21323[[#This Row],[Program]])</f>
        <v>5</v>
      </c>
      <c r="J230" s="44">
        <f>COUNTIFS(TableFA21323[Project],TableFA21323[[#This Row],[Project]])</f>
        <v>5</v>
      </c>
      <c r="K230" s="45"/>
    </row>
    <row r="231" spans="1:11" s="41" customFormat="1" x14ac:dyDescent="0.2">
      <c r="A231" s="80"/>
      <c r="B231" s="43" t="s">
        <v>459</v>
      </c>
      <c r="C231" s="43" t="s">
        <v>460</v>
      </c>
      <c r="D231" s="43" t="s">
        <v>383</v>
      </c>
      <c r="E231" s="44" t="s">
        <v>461</v>
      </c>
      <c r="F231" s="45" t="str">
        <f>_xlfn.XLOOKUP(TableFA21323[[#This Row],[Project]],Projects[Project],Projects[Full Name],"")</f>
        <v>Stefan Dumitrasku</v>
      </c>
      <c r="G231" s="45" t="str">
        <f>_xlfn.XLOOKUP(TableFA21323[[#This Row],[Project]],Projects[Project],Projects[Work Email (no gmail/hotmail/etc.)],"")</f>
        <v>sdumi001@fiu.edu</v>
      </c>
      <c r="H231" s="45" t="str">
        <f>_xlfn.XLOOKUP(TableFA21323[[#This Row],[Project]],Projects[Project],Projects[Affiliation (Company/University/Place of Work)],"")</f>
        <v>Florida International University</v>
      </c>
      <c r="I231" s="44">
        <f>COUNTIFS(TableFA21323[Project],TableFA21323[[#This Row],[Project]],TableFA21323[Program],TableFA21323[[#This Row],[Program]])</f>
        <v>5</v>
      </c>
      <c r="J231" s="44">
        <f>COUNTIFS(TableFA21323[Project],TableFA21323[[#This Row],[Project]])</f>
        <v>5</v>
      </c>
      <c r="K231" s="45"/>
    </row>
    <row r="232" spans="1:11" s="41" customFormat="1" x14ac:dyDescent="0.2">
      <c r="A232" s="80"/>
      <c r="B232" s="41" t="s">
        <v>464</v>
      </c>
      <c r="C232" s="41" t="s">
        <v>465</v>
      </c>
      <c r="D232" s="41" t="s">
        <v>383</v>
      </c>
      <c r="E232" s="45" t="s">
        <v>461</v>
      </c>
      <c r="F232" s="45" t="str">
        <f>_xlfn.XLOOKUP(TableFA21323[[#This Row],[Project]],Projects[Project],Projects[Full Name],"")</f>
        <v>Stefan Dumitrasku</v>
      </c>
      <c r="G232" s="45" t="str">
        <f>_xlfn.XLOOKUP(TableFA21323[[#This Row],[Project]],Projects[Project],Projects[Work Email (no gmail/hotmail/etc.)],"")</f>
        <v>sdumi001@fiu.edu</v>
      </c>
      <c r="H232" s="45" t="str">
        <f>_xlfn.XLOOKUP(TableFA21323[[#This Row],[Project]],Projects[Project],Projects[Affiliation (Company/University/Place of Work)],"")</f>
        <v>Florida International University</v>
      </c>
      <c r="I232" s="44">
        <f>COUNTIFS(TableFA21323[Project],TableFA21323[[#This Row],[Project]],TableFA21323[Program],TableFA21323[[#This Row],[Program]])</f>
        <v>5</v>
      </c>
      <c r="J232" s="44">
        <f>COUNTIFS(TableFA21323[Project],TableFA21323[[#This Row],[Project]])</f>
        <v>5</v>
      </c>
      <c r="K232" s="45"/>
    </row>
    <row r="233" spans="1:11" s="41" customFormat="1" x14ac:dyDescent="0.2">
      <c r="A233" s="80"/>
      <c r="B233" s="41" t="s">
        <v>466</v>
      </c>
      <c r="C233" s="41" t="s">
        <v>467</v>
      </c>
      <c r="D233" s="41" t="s">
        <v>383</v>
      </c>
      <c r="E233" s="45" t="s">
        <v>461</v>
      </c>
      <c r="F233" s="45" t="str">
        <f>_xlfn.XLOOKUP(TableFA21323[[#This Row],[Project]],Projects[Project],Projects[Full Name],"")</f>
        <v>Stefan Dumitrasku</v>
      </c>
      <c r="G233" s="45" t="str">
        <f>_xlfn.XLOOKUP(TableFA21323[[#This Row],[Project]],Projects[Project],Projects[Work Email (no gmail/hotmail/etc.)],"")</f>
        <v>sdumi001@fiu.edu</v>
      </c>
      <c r="H233" s="45" t="str">
        <f>_xlfn.XLOOKUP(TableFA21323[[#This Row],[Project]],Projects[Project],Projects[Affiliation (Company/University/Place of Work)],"")</f>
        <v>Florida International University</v>
      </c>
      <c r="I233" s="44">
        <f>COUNTIFS(TableFA21323[Project],TableFA21323[[#This Row],[Project]],TableFA21323[Program],TableFA21323[[#This Row],[Program]])</f>
        <v>5</v>
      </c>
      <c r="J233" s="44">
        <f>COUNTIFS(TableFA21323[Project],TableFA21323[[#This Row],[Project]])</f>
        <v>5</v>
      </c>
      <c r="K233" s="45"/>
    </row>
    <row r="234" spans="1:11" s="41" customFormat="1" x14ac:dyDescent="0.2">
      <c r="A234" s="80"/>
      <c r="B234" s="41" t="s">
        <v>468</v>
      </c>
      <c r="C234" s="41" t="s">
        <v>469</v>
      </c>
      <c r="D234" s="41" t="s">
        <v>383</v>
      </c>
      <c r="E234" s="45" t="s">
        <v>461</v>
      </c>
      <c r="F234" s="45" t="str">
        <f>_xlfn.XLOOKUP(TableFA21323[[#This Row],[Project]],Projects[Project],Projects[Full Name],"")</f>
        <v>Stefan Dumitrasku</v>
      </c>
      <c r="G234" s="45" t="str">
        <f>_xlfn.XLOOKUP(TableFA21323[[#This Row],[Project]],Projects[Project],Projects[Work Email (no gmail/hotmail/etc.)],"")</f>
        <v>sdumi001@fiu.edu</v>
      </c>
      <c r="H234" s="45" t="str">
        <f>_xlfn.XLOOKUP(TableFA21323[[#This Row],[Project]],Projects[Project],Projects[Affiliation (Company/University/Place of Work)],"")</f>
        <v>Florida International University</v>
      </c>
      <c r="I234" s="44">
        <f>COUNTIFS(TableFA21323[Project],TableFA21323[[#This Row],[Project]],TableFA21323[Program],TableFA21323[[#This Row],[Program]])</f>
        <v>5</v>
      </c>
      <c r="J234" s="44">
        <f>COUNTIFS(TableFA21323[Project],TableFA21323[[#This Row],[Project]])</f>
        <v>5</v>
      </c>
      <c r="K234" s="45"/>
    </row>
    <row r="235" spans="1:11" x14ac:dyDescent="0.2">
      <c r="E235" s="1"/>
      <c r="F235" s="1"/>
      <c r="G235" s="1"/>
      <c r="H235" s="1"/>
      <c r="I235" s="1"/>
      <c r="J235" s="1"/>
      <c r="K235" s="1"/>
    </row>
    <row r="236" spans="1:11" s="41" customFormat="1" x14ac:dyDescent="0.2">
      <c r="A236" s="80">
        <v>42</v>
      </c>
      <c r="B236" s="41" t="s">
        <v>473</v>
      </c>
      <c r="C236" s="41" t="s">
        <v>474</v>
      </c>
      <c r="D236" s="41" t="s">
        <v>383</v>
      </c>
      <c r="E236" s="45" t="s">
        <v>472</v>
      </c>
      <c r="F236" s="45" t="str">
        <f>_xlfn.XLOOKUP(TableFA21323[[#This Row],[Project]],Projects[Project],Projects[Full Name],"")</f>
        <v xml:space="preserve">Damian Figueroa-Gonzalez </v>
      </c>
      <c r="G236" s="45" t="str">
        <f>_xlfn.XLOOKUP(TableFA21323[[#This Row],[Project]],Projects[Project],Projects[Work Email (no gmail/hotmail/etc.)],"")</f>
        <v>dfigu048@fiu.edu</v>
      </c>
      <c r="H236" s="45" t="str">
        <f>_xlfn.XLOOKUP(TableFA21323[[#This Row],[Project]],Projects[Project],Projects[Affiliation (Company/University/Place of Work)],"")</f>
        <v>Florida International University</v>
      </c>
      <c r="I236" s="44">
        <f>COUNTIFS(TableFA21323[Project],TableFA21323[[#This Row],[Project]],TableFA21323[Program],TableFA21323[[#This Row],[Program]])</f>
        <v>4</v>
      </c>
      <c r="J236" s="44">
        <f>COUNTIFS(TableFA21323[Project],TableFA21323[[#This Row],[Project]])</f>
        <v>4</v>
      </c>
      <c r="K236" s="45"/>
    </row>
    <row r="237" spans="1:11" s="41" customFormat="1" x14ac:dyDescent="0.2">
      <c r="A237" s="80"/>
      <c r="B237" s="41" t="s">
        <v>475</v>
      </c>
      <c r="C237" s="41" t="s">
        <v>476</v>
      </c>
      <c r="D237" s="41" t="s">
        <v>383</v>
      </c>
      <c r="E237" s="45" t="s">
        <v>472</v>
      </c>
      <c r="F237" s="45" t="str">
        <f>_xlfn.XLOOKUP(TableFA21323[[#This Row],[Project]],Projects[Project],Projects[Full Name],"")</f>
        <v xml:space="preserve">Damian Figueroa-Gonzalez </v>
      </c>
      <c r="G237" s="45" t="str">
        <f>_xlfn.XLOOKUP(TableFA21323[[#This Row],[Project]],Projects[Project],Projects[Work Email (no gmail/hotmail/etc.)],"")</f>
        <v>dfigu048@fiu.edu</v>
      </c>
      <c r="H237" s="45" t="str">
        <f>_xlfn.XLOOKUP(TableFA21323[[#This Row],[Project]],Projects[Project],Projects[Affiliation (Company/University/Place of Work)],"")</f>
        <v>Florida International University</v>
      </c>
      <c r="I237" s="44">
        <f>COUNTIFS(TableFA21323[Project],TableFA21323[[#This Row],[Project]],TableFA21323[Program],TableFA21323[[#This Row],[Program]])</f>
        <v>4</v>
      </c>
      <c r="J237" s="44">
        <f>COUNTIFS(TableFA21323[Project],TableFA21323[[#This Row],[Project]])</f>
        <v>4</v>
      </c>
      <c r="K237" s="45"/>
    </row>
    <row r="238" spans="1:11" s="41" customFormat="1" x14ac:dyDescent="0.2">
      <c r="A238" s="80"/>
      <c r="B238" s="43" t="s">
        <v>470</v>
      </c>
      <c r="C238" s="43" t="s">
        <v>471</v>
      </c>
      <c r="D238" s="43" t="s">
        <v>383</v>
      </c>
      <c r="E238" s="44" t="s">
        <v>472</v>
      </c>
      <c r="F238" s="45" t="str">
        <f>_xlfn.XLOOKUP(TableFA21323[[#This Row],[Project]],Projects[Project],Projects[Full Name],"")</f>
        <v xml:space="preserve">Damian Figueroa-Gonzalez </v>
      </c>
      <c r="G238" s="45" t="str">
        <f>_xlfn.XLOOKUP(TableFA21323[[#This Row],[Project]],Projects[Project],Projects[Work Email (no gmail/hotmail/etc.)],"")</f>
        <v>dfigu048@fiu.edu</v>
      </c>
      <c r="H238" s="45" t="str">
        <f>_xlfn.XLOOKUP(TableFA21323[[#This Row],[Project]],Projects[Project],Projects[Affiliation (Company/University/Place of Work)],"")</f>
        <v>Florida International University</v>
      </c>
      <c r="I238" s="44">
        <f>COUNTIFS(TableFA21323[Project],TableFA21323[[#This Row],[Project]],TableFA21323[Program],TableFA21323[[#This Row],[Program]])</f>
        <v>4</v>
      </c>
      <c r="J238" s="44">
        <f>COUNTIFS(TableFA21323[Project],TableFA21323[[#This Row],[Project]])</f>
        <v>4</v>
      </c>
      <c r="K238" s="45"/>
    </row>
    <row r="239" spans="1:11" s="41" customFormat="1" x14ac:dyDescent="0.2">
      <c r="A239" s="80"/>
      <c r="B239" s="41" t="s">
        <v>477</v>
      </c>
      <c r="C239" s="41" t="s">
        <v>478</v>
      </c>
      <c r="D239" s="41" t="s">
        <v>383</v>
      </c>
      <c r="E239" s="45" t="s">
        <v>472</v>
      </c>
      <c r="F239" s="45" t="str">
        <f>_xlfn.XLOOKUP(TableFA21323[[#This Row],[Project]],Projects[Project],Projects[Full Name],"")</f>
        <v xml:space="preserve">Damian Figueroa-Gonzalez </v>
      </c>
      <c r="G239" s="45" t="str">
        <f>_xlfn.XLOOKUP(TableFA21323[[#This Row],[Project]],Projects[Project],Projects[Work Email (no gmail/hotmail/etc.)],"")</f>
        <v>dfigu048@fiu.edu</v>
      </c>
      <c r="H239" s="45" t="str">
        <f>_xlfn.XLOOKUP(TableFA21323[[#This Row],[Project]],Projects[Project],Projects[Affiliation (Company/University/Place of Work)],"")</f>
        <v>Florida International University</v>
      </c>
      <c r="I239" s="44">
        <f>COUNTIFS(TableFA21323[Project],TableFA21323[[#This Row],[Project]],TableFA21323[Program],TableFA21323[[#This Row],[Program]])</f>
        <v>4</v>
      </c>
      <c r="J239" s="44">
        <f>COUNTIFS(TableFA21323[Project],TableFA21323[[#This Row],[Project]])</f>
        <v>4</v>
      </c>
      <c r="K239" s="45"/>
    </row>
    <row r="240" spans="1:11" x14ac:dyDescent="0.2">
      <c r="E240" s="1"/>
      <c r="F240" s="1"/>
      <c r="G240" s="1"/>
      <c r="H240" s="1"/>
      <c r="I240" s="1"/>
      <c r="J240" s="1"/>
      <c r="K240" s="1"/>
    </row>
    <row r="241" spans="1:11" s="42" customFormat="1" x14ac:dyDescent="0.2">
      <c r="A241" s="84">
        <v>43</v>
      </c>
      <c r="B241" s="42" t="s">
        <v>488</v>
      </c>
      <c r="C241" s="42" t="s">
        <v>489</v>
      </c>
      <c r="D241" s="42" t="s">
        <v>486</v>
      </c>
      <c r="E241" s="54" t="s">
        <v>487</v>
      </c>
      <c r="F241" s="54" t="str">
        <f>_xlfn.XLOOKUP(TableFA21323[[#This Row],[Project]],Projects[Project],Projects[Full Name],"")</f>
        <v>Daniella Funtes</v>
      </c>
      <c r="G241" s="54" t="str">
        <f>_xlfn.XLOOKUP(TableFA21323[[#This Row],[Project]],Projects[Project],Projects[Work Email (no gmail/hotmail/etc.)],"")</f>
        <v>Dfuen050@fiu.edu</v>
      </c>
      <c r="H241" s="54" t="str">
        <f>_xlfn.XLOOKUP(TableFA21323[[#This Row],[Project]],Projects[Project],Projects[Affiliation (Company/University/Place of Work)],"")</f>
        <v>Florida International University</v>
      </c>
      <c r="I241" s="55">
        <f>COUNTIFS(TableFA21323[Project],TableFA21323[[#This Row],[Project]],TableFA21323[Program],TableFA21323[[#This Row],[Program]])</f>
        <v>3</v>
      </c>
      <c r="J241" s="55">
        <f>COUNTIFS(TableFA21323[Project],TableFA21323[[#This Row],[Project]])</f>
        <v>3</v>
      </c>
      <c r="K241" s="54"/>
    </row>
    <row r="242" spans="1:11" s="42" customFormat="1" x14ac:dyDescent="0.2">
      <c r="A242" s="84"/>
      <c r="B242" s="56" t="s">
        <v>484</v>
      </c>
      <c r="C242" s="56" t="s">
        <v>485</v>
      </c>
      <c r="D242" s="56" t="s">
        <v>486</v>
      </c>
      <c r="E242" s="55" t="s">
        <v>487</v>
      </c>
      <c r="F242" s="54" t="str">
        <f>_xlfn.XLOOKUP(TableFA21323[[#This Row],[Project]],Projects[Project],Projects[Full Name],"")</f>
        <v>Daniella Funtes</v>
      </c>
      <c r="G242" s="54" t="str">
        <f>_xlfn.XLOOKUP(TableFA21323[[#This Row],[Project]],Projects[Project],Projects[Work Email (no gmail/hotmail/etc.)],"")</f>
        <v>Dfuen050@fiu.edu</v>
      </c>
      <c r="H242" s="54" t="str">
        <f>_xlfn.XLOOKUP(TableFA21323[[#This Row],[Project]],Projects[Project],Projects[Affiliation (Company/University/Place of Work)],"")</f>
        <v>Florida International University</v>
      </c>
      <c r="I242" s="55">
        <f>COUNTIFS(TableFA21323[Project],TableFA21323[[#This Row],[Project]],TableFA21323[Program],TableFA21323[[#This Row],[Program]])</f>
        <v>3</v>
      </c>
      <c r="J242" s="55">
        <f>COUNTIFS(TableFA21323[Project],TableFA21323[[#This Row],[Project]])</f>
        <v>3</v>
      </c>
      <c r="K242" s="54"/>
    </row>
    <row r="243" spans="1:11" s="42" customFormat="1" x14ac:dyDescent="0.2">
      <c r="A243" s="84"/>
      <c r="B243" s="42" t="s">
        <v>490</v>
      </c>
      <c r="C243" s="42" t="s">
        <v>491</v>
      </c>
      <c r="D243" s="42" t="s">
        <v>486</v>
      </c>
      <c r="E243" s="54" t="s">
        <v>487</v>
      </c>
      <c r="F243" s="54" t="str">
        <f>_xlfn.XLOOKUP(TableFA21323[[#This Row],[Project]],Projects[Project],Projects[Full Name],"")</f>
        <v>Daniella Funtes</v>
      </c>
      <c r="G243" s="54" t="str">
        <f>_xlfn.XLOOKUP(TableFA21323[[#This Row],[Project]],Projects[Project],Projects[Work Email (no gmail/hotmail/etc.)],"")</f>
        <v>Dfuen050@fiu.edu</v>
      </c>
      <c r="H243" s="54" t="str">
        <f>_xlfn.XLOOKUP(TableFA21323[[#This Row],[Project]],Projects[Project],Projects[Affiliation (Company/University/Place of Work)],"")</f>
        <v>Florida International University</v>
      </c>
      <c r="I243" s="55">
        <f>COUNTIFS(TableFA21323[Project],TableFA21323[[#This Row],[Project]],TableFA21323[Program],TableFA21323[[#This Row],[Program]])</f>
        <v>3</v>
      </c>
      <c r="J243" s="55">
        <f>COUNTIFS(TableFA21323[Project],TableFA21323[[#This Row],[Project]])</f>
        <v>3</v>
      </c>
      <c r="K243" s="54"/>
    </row>
    <row r="244" spans="1:11" x14ac:dyDescent="0.2">
      <c r="E244" s="1"/>
      <c r="F244" s="1"/>
      <c r="G244" s="1"/>
      <c r="H244" s="1"/>
      <c r="I244" s="1"/>
      <c r="J244" s="1"/>
      <c r="K244" s="1"/>
    </row>
    <row r="245" spans="1:11" s="41" customFormat="1" x14ac:dyDescent="0.2">
      <c r="A245" s="80">
        <v>44</v>
      </c>
      <c r="B245" s="41" t="s">
        <v>495</v>
      </c>
      <c r="C245" s="45" t="s">
        <v>496</v>
      </c>
      <c r="D245" s="41" t="s">
        <v>486</v>
      </c>
      <c r="E245" s="45" t="s">
        <v>494</v>
      </c>
      <c r="F245" s="45" t="str">
        <f>_xlfn.XLOOKUP(TableFA21323[[#This Row],[Project]],Projects[Project],Projects[Full Name],"")</f>
        <v>Cesar Pereyra</v>
      </c>
      <c r="G245" s="45" t="str">
        <f>_xlfn.XLOOKUP(TableFA21323[[#This Row],[Project]],Projects[Project],Projects[Work Email (no gmail/hotmail/etc.)],"")</f>
        <v>cpere684@fiu.edu</v>
      </c>
      <c r="H245" s="45" t="str">
        <f>_xlfn.XLOOKUP(TableFA21323[[#This Row],[Project]],Projects[Project],Projects[Affiliation (Company/University/Place of Work)],"")</f>
        <v>Florida International University</v>
      </c>
      <c r="I245" s="44">
        <f>COUNTIFS(TableFA21323[Project],TableFA21323[[#This Row],[Project]],TableFA21323[Program],TableFA21323[[#This Row],[Program]])</f>
        <v>5</v>
      </c>
      <c r="J245" s="44">
        <f>COUNTIFS(TableFA21323[Project],TableFA21323[[#This Row],[Project]])</f>
        <v>5</v>
      </c>
      <c r="K245" s="45"/>
    </row>
    <row r="246" spans="1:11" s="41" customFormat="1" x14ac:dyDescent="0.2">
      <c r="A246" s="80"/>
      <c r="B246" s="43" t="s">
        <v>492</v>
      </c>
      <c r="C246" s="76" t="s">
        <v>493</v>
      </c>
      <c r="D246" s="76" t="s">
        <v>486</v>
      </c>
      <c r="E246" s="77" t="s">
        <v>494</v>
      </c>
      <c r="F246" s="44" t="str">
        <f>_xlfn.XLOOKUP(TableFA21323[[#This Row],[Project]],Projects[Project],Projects[Full Name],"")</f>
        <v>Cesar Pereyra</v>
      </c>
      <c r="G246" s="44" t="str">
        <f>_xlfn.XLOOKUP(TableFA21323[[#This Row],[Project]],Projects[Project],Projects[Work Email (no gmail/hotmail/etc.)],"")</f>
        <v>cpere684@fiu.edu</v>
      </c>
      <c r="H246" s="44" t="str">
        <f>_xlfn.XLOOKUP(TableFA21323[[#This Row],[Project]],Projects[Project],Projects[Affiliation (Company/University/Place of Work)],"")</f>
        <v>Florida International University</v>
      </c>
      <c r="I246" s="44">
        <f>COUNTIFS(TableFA21323[Project],TableFA21323[[#This Row],[Project]],TableFA21323[Program],TableFA21323[[#This Row],[Program]])</f>
        <v>5</v>
      </c>
      <c r="J246" s="44">
        <f>COUNTIFS(TableFA21323[Project],TableFA21323[[#This Row],[Project]])</f>
        <v>5</v>
      </c>
      <c r="K246" s="45"/>
    </row>
    <row r="247" spans="1:11" s="41" customFormat="1" x14ac:dyDescent="0.2">
      <c r="A247" s="80"/>
      <c r="B247" s="41" t="s">
        <v>497</v>
      </c>
      <c r="C247" s="41" t="s">
        <v>498</v>
      </c>
      <c r="D247" s="41" t="s">
        <v>486</v>
      </c>
      <c r="E247" s="45" t="s">
        <v>494</v>
      </c>
      <c r="F247" s="45" t="str">
        <f>_xlfn.XLOOKUP(TableFA21323[[#This Row],[Project]],Projects[Project],Projects[Full Name],"")</f>
        <v>Cesar Pereyra</v>
      </c>
      <c r="G247" s="45" t="str">
        <f>_xlfn.XLOOKUP(TableFA21323[[#This Row],[Project]],Projects[Project],Projects[Work Email (no gmail/hotmail/etc.)],"")</f>
        <v>cpere684@fiu.edu</v>
      </c>
      <c r="H247" s="45" t="str">
        <f>_xlfn.XLOOKUP(TableFA21323[[#This Row],[Project]],Projects[Project],Projects[Affiliation (Company/University/Place of Work)],"")</f>
        <v>Florida International University</v>
      </c>
      <c r="I247" s="44">
        <f>COUNTIFS(TableFA21323[Project],TableFA21323[[#This Row],[Project]],TableFA21323[Program],TableFA21323[[#This Row],[Program]])</f>
        <v>5</v>
      </c>
      <c r="J247" s="44">
        <f>COUNTIFS(TableFA21323[Project],TableFA21323[[#This Row],[Project]])</f>
        <v>5</v>
      </c>
      <c r="K247" s="45"/>
    </row>
    <row r="248" spans="1:11" s="41" customFormat="1" x14ac:dyDescent="0.2">
      <c r="A248" s="80"/>
      <c r="B248" s="41" t="s">
        <v>499</v>
      </c>
      <c r="C248" s="41" t="s">
        <v>500</v>
      </c>
      <c r="D248" s="41" t="s">
        <v>486</v>
      </c>
      <c r="E248" s="45" t="s">
        <v>494</v>
      </c>
      <c r="F248" s="45" t="str">
        <f>_xlfn.XLOOKUP(TableFA21323[[#This Row],[Project]],Projects[Project],Projects[Full Name],"")</f>
        <v>Cesar Pereyra</v>
      </c>
      <c r="G248" s="45" t="str">
        <f>_xlfn.XLOOKUP(TableFA21323[[#This Row],[Project]],Projects[Project],Projects[Work Email (no gmail/hotmail/etc.)],"")</f>
        <v>cpere684@fiu.edu</v>
      </c>
      <c r="H248" s="45" t="str">
        <f>_xlfn.XLOOKUP(TableFA21323[[#This Row],[Project]],Projects[Project],Projects[Affiliation (Company/University/Place of Work)],"")</f>
        <v>Florida International University</v>
      </c>
      <c r="I248" s="44">
        <f>COUNTIFS(TableFA21323[Project],TableFA21323[[#This Row],[Project]],TableFA21323[Program],TableFA21323[[#This Row],[Program]])</f>
        <v>5</v>
      </c>
      <c r="J248" s="44">
        <f>COUNTIFS(TableFA21323[Project],TableFA21323[[#This Row],[Project]])</f>
        <v>5</v>
      </c>
      <c r="K248" s="45"/>
    </row>
    <row r="249" spans="1:11" s="41" customFormat="1" x14ac:dyDescent="0.2">
      <c r="A249" s="80"/>
      <c r="B249" s="41" t="s">
        <v>501</v>
      </c>
      <c r="C249" s="41" t="s">
        <v>502</v>
      </c>
      <c r="D249" s="41" t="s">
        <v>486</v>
      </c>
      <c r="E249" s="45" t="s">
        <v>494</v>
      </c>
      <c r="F249" s="45" t="str">
        <f>_xlfn.XLOOKUP(TableFA21323[[#This Row],[Project]],Projects[Project],Projects[Full Name],"")</f>
        <v>Cesar Pereyra</v>
      </c>
      <c r="G249" s="45" t="str">
        <f>_xlfn.XLOOKUP(TableFA21323[[#This Row],[Project]],Projects[Project],Projects[Work Email (no gmail/hotmail/etc.)],"")</f>
        <v>cpere684@fiu.edu</v>
      </c>
      <c r="H249" s="45" t="str">
        <f>_xlfn.XLOOKUP(TableFA21323[[#This Row],[Project]],Projects[Project],Projects[Affiliation (Company/University/Place of Work)],"")</f>
        <v>Florida International University</v>
      </c>
      <c r="I249" s="44">
        <f>COUNTIFS(TableFA21323[Project],TableFA21323[[#This Row],[Project]],TableFA21323[Program],TableFA21323[[#This Row],[Program]])</f>
        <v>5</v>
      </c>
      <c r="J249" s="44">
        <f>COUNTIFS(TableFA21323[Project],TableFA21323[[#This Row],[Project]])</f>
        <v>5</v>
      </c>
      <c r="K249" s="45"/>
    </row>
    <row r="250" spans="1:11" x14ac:dyDescent="0.2">
      <c r="E250" s="1"/>
      <c r="F250" s="1"/>
      <c r="G250" s="1"/>
      <c r="H250" s="1"/>
      <c r="I250" s="1"/>
      <c r="J250" s="1"/>
      <c r="K250" s="1"/>
    </row>
    <row r="251" spans="1:11" s="41" customFormat="1" x14ac:dyDescent="0.2">
      <c r="A251" s="80">
        <v>45</v>
      </c>
      <c r="B251" s="46" t="s">
        <v>506</v>
      </c>
      <c r="C251" s="41" t="s">
        <v>507</v>
      </c>
      <c r="D251" s="41" t="s">
        <v>486</v>
      </c>
      <c r="E251" s="45" t="s">
        <v>505</v>
      </c>
      <c r="F251" s="45" t="str">
        <f>_xlfn.XLOOKUP(TableFA21323[[#This Row],[Project]],Projects[Project],Projects[Full Name],"")</f>
        <v>Giovanna Curry</v>
      </c>
      <c r="G251" s="45" t="str">
        <f>_xlfn.XLOOKUP(TableFA21323[[#This Row],[Project]],Projects[Project],Projects[Work Email (no gmail/hotmail/etc.)],"")</f>
        <v>gcurr011@fiu.edu</v>
      </c>
      <c r="H251" s="45" t="str">
        <f>_xlfn.XLOOKUP(TableFA21323[[#This Row],[Project]],Projects[Project],Projects[Affiliation (Company/University/Place of Work)],"")</f>
        <v>Florida International University</v>
      </c>
      <c r="I251" s="44">
        <f>COUNTIFS(TableFA21323[Project],TableFA21323[[#This Row],[Project]],TableFA21323[Program],TableFA21323[[#This Row],[Program]])</f>
        <v>5</v>
      </c>
      <c r="J251" s="44">
        <f>COUNTIFS(TableFA21323[Project],TableFA21323[[#This Row],[Project]])</f>
        <v>5</v>
      </c>
      <c r="K251" s="45"/>
    </row>
    <row r="252" spans="1:11" s="41" customFormat="1" x14ac:dyDescent="0.2">
      <c r="A252" s="80"/>
      <c r="B252" s="46" t="s">
        <v>508</v>
      </c>
      <c r="C252" s="41" t="s">
        <v>509</v>
      </c>
      <c r="D252" s="41" t="s">
        <v>486</v>
      </c>
      <c r="E252" s="45" t="s">
        <v>505</v>
      </c>
      <c r="F252" s="45" t="str">
        <f>_xlfn.XLOOKUP(TableFA21323[[#This Row],[Project]],Projects[Project],Projects[Full Name],"")</f>
        <v>Giovanna Curry</v>
      </c>
      <c r="G252" s="50" t="s">
        <v>510</v>
      </c>
      <c r="H252" s="45" t="str">
        <f>_xlfn.XLOOKUP(TableFA21323[[#This Row],[Project]],Projects[Project],Projects[Affiliation (Company/University/Place of Work)],"")</f>
        <v>Florida International University</v>
      </c>
      <c r="I252" s="44">
        <f>COUNTIFS(TableFA21323[Project],TableFA21323[[#This Row],[Project]],TableFA21323[Program],TableFA21323[[#This Row],[Program]])</f>
        <v>5</v>
      </c>
      <c r="J252" s="44">
        <f>COUNTIFS(TableFA21323[Project],TableFA21323[[#This Row],[Project]])</f>
        <v>5</v>
      </c>
      <c r="K252" s="45"/>
    </row>
    <row r="253" spans="1:11" s="41" customFormat="1" x14ac:dyDescent="0.2">
      <c r="A253" s="80"/>
      <c r="B253" s="46" t="s">
        <v>503</v>
      </c>
      <c r="C253" s="43" t="s">
        <v>504</v>
      </c>
      <c r="D253" s="43" t="s">
        <v>486</v>
      </c>
      <c r="E253" s="44" t="s">
        <v>505</v>
      </c>
      <c r="F253" s="45" t="str">
        <f>_xlfn.XLOOKUP(TableFA21323[[#This Row],[Project]],Projects[Project],Projects[Full Name],"")</f>
        <v>Giovanna Curry</v>
      </c>
      <c r="G253" s="45" t="str">
        <f>_xlfn.XLOOKUP(TableFA21323[[#This Row],[Project]],Projects[Project],Projects[Work Email (no gmail/hotmail/etc.)],"")</f>
        <v>gcurr011@fiu.edu</v>
      </c>
      <c r="H253" s="45" t="str">
        <f>_xlfn.XLOOKUP(TableFA21323[[#This Row],[Project]],Projects[Project],Projects[Affiliation (Company/University/Place of Work)],"")</f>
        <v>Florida International University</v>
      </c>
      <c r="I253" s="44">
        <f>COUNTIFS(TableFA21323[Project],TableFA21323[[#This Row],[Project]],TableFA21323[Program],TableFA21323[[#This Row],[Program]])</f>
        <v>5</v>
      </c>
      <c r="J253" s="44">
        <f>COUNTIFS(TableFA21323[Project],TableFA21323[[#This Row],[Project]])</f>
        <v>5</v>
      </c>
      <c r="K253" s="45"/>
    </row>
    <row r="254" spans="1:11" s="41" customFormat="1" x14ac:dyDescent="0.2">
      <c r="A254" s="80"/>
      <c r="B254" s="46" t="s">
        <v>511</v>
      </c>
      <c r="C254" s="41" t="s">
        <v>512</v>
      </c>
      <c r="D254" s="41" t="s">
        <v>486</v>
      </c>
      <c r="E254" s="45" t="s">
        <v>505</v>
      </c>
      <c r="F254" s="45" t="str">
        <f>_xlfn.XLOOKUP(TableFA21323[[#This Row],[Project]],Projects[Project],Projects[Full Name],"")</f>
        <v>Giovanna Curry</v>
      </c>
      <c r="G254" s="45" t="str">
        <f>_xlfn.XLOOKUP(TableFA21323[[#This Row],[Project]],Projects[Project],Projects[Work Email (no gmail/hotmail/etc.)],"")</f>
        <v>gcurr011@fiu.edu</v>
      </c>
      <c r="H254" s="45" t="str">
        <f>_xlfn.XLOOKUP(TableFA21323[[#This Row],[Project]],Projects[Project],Projects[Affiliation (Company/University/Place of Work)],"")</f>
        <v>Florida International University</v>
      </c>
      <c r="I254" s="44">
        <f>COUNTIFS(TableFA21323[Project],TableFA21323[[#This Row],[Project]],TableFA21323[Program],TableFA21323[[#This Row],[Program]])</f>
        <v>5</v>
      </c>
      <c r="J254" s="44">
        <f>COUNTIFS(TableFA21323[Project],TableFA21323[[#This Row],[Project]])</f>
        <v>5</v>
      </c>
      <c r="K254" s="45"/>
    </row>
    <row r="255" spans="1:11" s="41" customFormat="1" x14ac:dyDescent="0.2">
      <c r="A255" s="80"/>
      <c r="B255" s="41" t="s">
        <v>513</v>
      </c>
      <c r="C255" s="41" t="s">
        <v>514</v>
      </c>
      <c r="D255" s="41" t="s">
        <v>486</v>
      </c>
      <c r="E255" s="45" t="s">
        <v>505</v>
      </c>
      <c r="F255" s="45" t="str">
        <f>_xlfn.XLOOKUP(TableFA21323[[#This Row],[Project]],Projects[Project],Projects[Full Name],"")</f>
        <v>Giovanna Curry</v>
      </c>
      <c r="G255" s="45" t="str">
        <f>_xlfn.XLOOKUP(TableFA21323[[#This Row],[Project]],Projects[Project],Projects[Work Email (no gmail/hotmail/etc.)],"")</f>
        <v>gcurr011@fiu.edu</v>
      </c>
      <c r="H255" s="45" t="str">
        <f>_xlfn.XLOOKUP(TableFA21323[[#This Row],[Project]],Projects[Project],Projects[Affiliation (Company/University/Place of Work)],"")</f>
        <v>Florida International University</v>
      </c>
      <c r="I255" s="44">
        <f>COUNTIFS(TableFA21323[Project],TableFA21323[[#This Row],[Project]],TableFA21323[Program],TableFA21323[[#This Row],[Program]])</f>
        <v>5</v>
      </c>
      <c r="J255" s="44">
        <f>COUNTIFS(TableFA21323[Project],TableFA21323[[#This Row],[Project]])</f>
        <v>5</v>
      </c>
      <c r="K255" s="45"/>
    </row>
    <row r="256" spans="1:11" x14ac:dyDescent="0.2">
      <c r="E256" s="1"/>
      <c r="F256" s="1"/>
      <c r="G256" s="1"/>
      <c r="H256" s="1"/>
      <c r="I256" s="1"/>
      <c r="J256" s="1"/>
      <c r="K256" s="1"/>
    </row>
    <row r="257" spans="1:11" s="41" customFormat="1" x14ac:dyDescent="0.2">
      <c r="A257" s="80">
        <v>46</v>
      </c>
      <c r="B257" s="41" t="s">
        <v>518</v>
      </c>
      <c r="C257" s="41" t="s">
        <v>519</v>
      </c>
      <c r="D257" s="41" t="s">
        <v>486</v>
      </c>
      <c r="E257" s="45" t="s">
        <v>517</v>
      </c>
      <c r="F257" s="45" t="str">
        <f>_xlfn.XLOOKUP(TableFA21323[[#This Row],[Project]],Projects[Project],Projects[Full Name],"")</f>
        <v>Joseph McNulty-Lamparter</v>
      </c>
      <c r="G257" s="45" t="str">
        <f>_xlfn.XLOOKUP(TableFA21323[[#This Row],[Project]],Projects[Project],Projects[Work Email (no gmail/hotmail/etc.)],"")</f>
        <v>jmcnu007@fiu.edu</v>
      </c>
      <c r="H257" s="45" t="str">
        <f>_xlfn.XLOOKUP(TableFA21323[[#This Row],[Project]],Projects[Project],Projects[Affiliation (Company/University/Place of Work)],"")</f>
        <v>Florida International University</v>
      </c>
      <c r="I257" s="44">
        <f>COUNTIFS(TableFA21323[Project],TableFA21323[[#This Row],[Project]],TableFA21323[Program],TableFA21323[[#This Row],[Program]])</f>
        <v>4</v>
      </c>
      <c r="J257" s="44">
        <f>COUNTIFS(TableFA21323[Project],TableFA21323[[#This Row],[Project]])</f>
        <v>4</v>
      </c>
      <c r="K257" s="45"/>
    </row>
    <row r="258" spans="1:11" s="41" customFormat="1" x14ac:dyDescent="0.2">
      <c r="A258" s="80"/>
      <c r="B258" s="43" t="s">
        <v>515</v>
      </c>
      <c r="C258" s="43" t="s">
        <v>516</v>
      </c>
      <c r="D258" s="43" t="s">
        <v>486</v>
      </c>
      <c r="E258" s="44" t="s">
        <v>517</v>
      </c>
      <c r="F258" s="44" t="str">
        <f>_xlfn.XLOOKUP(TableFA21323[[#This Row],[Project]],Projects[Project],Projects[Full Name],"")</f>
        <v>Joseph McNulty-Lamparter</v>
      </c>
      <c r="G258" s="44" t="str">
        <f>_xlfn.XLOOKUP(TableFA21323[[#This Row],[Project]],Projects[Project],Projects[Work Email (no gmail/hotmail/etc.)],"")</f>
        <v>jmcnu007@fiu.edu</v>
      </c>
      <c r="H258" s="44" t="str">
        <f>_xlfn.XLOOKUP(TableFA21323[[#This Row],[Project]],Projects[Project],Projects[Affiliation (Company/University/Place of Work)],"")</f>
        <v>Florida International University</v>
      </c>
      <c r="I258" s="44">
        <f>COUNTIFS(TableFA21323[Project],TableFA21323[[#This Row],[Project]],TableFA21323[Program],TableFA21323[[#This Row],[Program]])</f>
        <v>4</v>
      </c>
      <c r="J258" s="44">
        <f>COUNTIFS(TableFA21323[Project],TableFA21323[[#This Row],[Project]])</f>
        <v>4</v>
      </c>
      <c r="K258" s="45"/>
    </row>
    <row r="259" spans="1:11" s="41" customFormat="1" x14ac:dyDescent="0.2">
      <c r="A259" s="80"/>
      <c r="B259" s="41" t="s">
        <v>520</v>
      </c>
      <c r="C259" s="41" t="s">
        <v>521</v>
      </c>
      <c r="D259" s="41" t="s">
        <v>486</v>
      </c>
      <c r="E259" s="45" t="s">
        <v>517</v>
      </c>
      <c r="F259" s="45" t="str">
        <f>_xlfn.XLOOKUP(TableFA21323[[#This Row],[Project]],Projects[Project],Projects[Full Name],"")</f>
        <v>Joseph McNulty-Lamparter</v>
      </c>
      <c r="G259" s="45" t="str">
        <f>_xlfn.XLOOKUP(TableFA21323[[#This Row],[Project]],Projects[Project],Projects[Work Email (no gmail/hotmail/etc.)],"")</f>
        <v>jmcnu007@fiu.edu</v>
      </c>
      <c r="H259" s="45" t="str">
        <f>_xlfn.XLOOKUP(TableFA21323[[#This Row],[Project]],Projects[Project],Projects[Affiliation (Company/University/Place of Work)],"")</f>
        <v>Florida International University</v>
      </c>
      <c r="I259" s="44">
        <f>COUNTIFS(TableFA21323[Project],TableFA21323[[#This Row],[Project]],TableFA21323[Program],TableFA21323[[#This Row],[Program]])</f>
        <v>4</v>
      </c>
      <c r="J259" s="44">
        <f>COUNTIFS(TableFA21323[Project],TableFA21323[[#This Row],[Project]])</f>
        <v>4</v>
      </c>
      <c r="K259" s="45"/>
    </row>
    <row r="260" spans="1:11" s="41" customFormat="1" x14ac:dyDescent="0.2">
      <c r="A260" s="80"/>
      <c r="B260" s="41" t="s">
        <v>522</v>
      </c>
      <c r="C260" s="41" t="s">
        <v>523</v>
      </c>
      <c r="D260" s="41" t="s">
        <v>486</v>
      </c>
      <c r="E260" s="45" t="s">
        <v>517</v>
      </c>
      <c r="F260" s="45" t="str">
        <f>_xlfn.XLOOKUP(TableFA21323[[#This Row],[Project]],Projects[Project],Projects[Full Name],"")</f>
        <v>Joseph McNulty-Lamparter</v>
      </c>
      <c r="G260" s="45" t="str">
        <f>_xlfn.XLOOKUP(TableFA21323[[#This Row],[Project]],Projects[Project],Projects[Work Email (no gmail/hotmail/etc.)],"")</f>
        <v>jmcnu007@fiu.edu</v>
      </c>
      <c r="H260" s="45" t="str">
        <f>_xlfn.XLOOKUP(TableFA21323[[#This Row],[Project]],Projects[Project],Projects[Affiliation (Company/University/Place of Work)],"")</f>
        <v>Florida International University</v>
      </c>
      <c r="I260" s="44">
        <f>COUNTIFS(TableFA21323[Project],TableFA21323[[#This Row],[Project]],TableFA21323[Program],TableFA21323[[#This Row],[Program]])</f>
        <v>4</v>
      </c>
      <c r="J260" s="44">
        <f>COUNTIFS(TableFA21323[Project],TableFA21323[[#This Row],[Project]])</f>
        <v>4</v>
      </c>
      <c r="K260" s="45"/>
    </row>
    <row r="261" spans="1:11" x14ac:dyDescent="0.2">
      <c r="E261" s="1"/>
      <c r="F261" s="1"/>
      <c r="G261" s="1"/>
      <c r="H261" s="1"/>
      <c r="I261" s="1"/>
      <c r="J261" s="1"/>
      <c r="K261" s="1"/>
    </row>
    <row r="262" spans="1:11" s="41" customFormat="1" x14ac:dyDescent="0.2">
      <c r="A262" s="80">
        <v>47</v>
      </c>
      <c r="B262" s="41" t="s">
        <v>527</v>
      </c>
      <c r="C262" s="41" t="s">
        <v>528</v>
      </c>
      <c r="D262" s="41" t="s">
        <v>486</v>
      </c>
      <c r="E262" s="45" t="s">
        <v>526</v>
      </c>
      <c r="F262" s="45" t="str">
        <f>_xlfn.XLOOKUP(TableFA21323[[#This Row],[Project]],Projects[Project],Projects[Full Name],"")</f>
        <v>Esteban Oliva</v>
      </c>
      <c r="G262" s="45" t="str">
        <f>_xlfn.XLOOKUP(TableFA21323[[#This Row],[Project]],Projects[Project],Projects[Work Email (no gmail/hotmail/etc.)],"")</f>
        <v>eoliv080@fiu.edu</v>
      </c>
      <c r="H262" s="45" t="str">
        <f>_xlfn.XLOOKUP(TableFA21323[[#This Row],[Project]],Projects[Project],Projects[Affiliation (Company/University/Place of Work)],"")</f>
        <v>Florida International University</v>
      </c>
      <c r="I262" s="44">
        <f>COUNTIFS(TableFA21323[Project],TableFA21323[[#This Row],[Project]],TableFA21323[Program],TableFA21323[[#This Row],[Program]])</f>
        <v>5</v>
      </c>
      <c r="J262" s="44">
        <f>COUNTIFS(TableFA21323[Project],TableFA21323[[#This Row],[Project]])</f>
        <v>5</v>
      </c>
      <c r="K262" s="45"/>
    </row>
    <row r="263" spans="1:11" s="41" customFormat="1" x14ac:dyDescent="0.2">
      <c r="A263" s="80"/>
      <c r="B263" s="41" t="s">
        <v>529</v>
      </c>
      <c r="C263" s="41" t="s">
        <v>530</v>
      </c>
      <c r="D263" s="41" t="s">
        <v>486</v>
      </c>
      <c r="E263" s="45" t="s">
        <v>526</v>
      </c>
      <c r="F263" s="45" t="str">
        <f>_xlfn.XLOOKUP(TableFA21323[[#This Row],[Project]],Projects[Project],Projects[Full Name],"")</f>
        <v>Esteban Oliva</v>
      </c>
      <c r="G263" s="45" t="str">
        <f>_xlfn.XLOOKUP(TableFA21323[[#This Row],[Project]],Projects[Project],Projects[Work Email (no gmail/hotmail/etc.)],"")</f>
        <v>eoliv080@fiu.edu</v>
      </c>
      <c r="H263" s="45" t="str">
        <f>_xlfn.XLOOKUP(TableFA21323[[#This Row],[Project]],Projects[Project],Projects[Affiliation (Company/University/Place of Work)],"")</f>
        <v>Florida International University</v>
      </c>
      <c r="I263" s="44">
        <f>COUNTIFS(TableFA21323[Project],TableFA21323[[#This Row],[Project]],TableFA21323[Program],TableFA21323[[#This Row],[Program]])</f>
        <v>5</v>
      </c>
      <c r="J263" s="44">
        <f>COUNTIFS(TableFA21323[Project],TableFA21323[[#This Row],[Project]])</f>
        <v>5</v>
      </c>
      <c r="K263" s="45"/>
    </row>
    <row r="264" spans="1:11" s="41" customFormat="1" x14ac:dyDescent="0.2">
      <c r="A264" s="80"/>
      <c r="B264" s="41" t="s">
        <v>524</v>
      </c>
      <c r="C264" s="41" t="s">
        <v>525</v>
      </c>
      <c r="D264" s="41" t="s">
        <v>486</v>
      </c>
      <c r="E264" s="51" t="s">
        <v>526</v>
      </c>
      <c r="F264" s="45" t="str">
        <f>_xlfn.XLOOKUP(TableFA21323[[#This Row],[Project]],Projects[Project],Projects[Full Name],"")</f>
        <v>Esteban Oliva</v>
      </c>
      <c r="G264" s="45" t="str">
        <f>_xlfn.XLOOKUP(TableFA21323[[#This Row],[Project]],Projects[Project],Projects[Work Email (no gmail/hotmail/etc.)],"")</f>
        <v>eoliv080@fiu.edu</v>
      </c>
      <c r="H264" s="45" t="str">
        <f>_xlfn.XLOOKUP(TableFA21323[[#This Row],[Project]],Projects[Project],Projects[Affiliation (Company/University/Place of Work)],"")</f>
        <v>Florida International University</v>
      </c>
      <c r="I264" s="44">
        <f>COUNTIFS(TableFA21323[Project],TableFA21323[[#This Row],[Project]],TableFA21323[Program],TableFA21323[[#This Row],[Program]])</f>
        <v>5</v>
      </c>
      <c r="J264" s="44">
        <f>COUNTIFS(TableFA21323[Project],TableFA21323[[#This Row],[Project]])</f>
        <v>5</v>
      </c>
      <c r="K264" s="45"/>
    </row>
    <row r="265" spans="1:11" s="41" customFormat="1" x14ac:dyDescent="0.2">
      <c r="A265" s="80"/>
      <c r="B265" s="41" t="s">
        <v>531</v>
      </c>
      <c r="C265" s="41" t="s">
        <v>532</v>
      </c>
      <c r="D265" s="41" t="s">
        <v>486</v>
      </c>
      <c r="E265" s="45" t="s">
        <v>526</v>
      </c>
      <c r="F265" s="45" t="str">
        <f>_xlfn.XLOOKUP(TableFA21323[[#This Row],[Project]],Projects[Project],Projects[Full Name],"")</f>
        <v>Esteban Oliva</v>
      </c>
      <c r="G265" s="45" t="str">
        <f>_xlfn.XLOOKUP(TableFA21323[[#This Row],[Project]],Projects[Project],Projects[Work Email (no gmail/hotmail/etc.)],"")</f>
        <v>eoliv080@fiu.edu</v>
      </c>
      <c r="H265" s="45" t="str">
        <f>_xlfn.XLOOKUP(TableFA21323[[#This Row],[Project]],Projects[Project],Projects[Affiliation (Company/University/Place of Work)],"")</f>
        <v>Florida International University</v>
      </c>
      <c r="I265" s="44">
        <f>COUNTIFS(TableFA21323[Project],TableFA21323[[#This Row],[Project]],TableFA21323[Program],TableFA21323[[#This Row],[Program]])</f>
        <v>5</v>
      </c>
      <c r="J265" s="44">
        <f>COUNTIFS(TableFA21323[Project],TableFA21323[[#This Row],[Project]])</f>
        <v>5</v>
      </c>
      <c r="K265" s="45"/>
    </row>
    <row r="266" spans="1:11" s="41" customFormat="1" x14ac:dyDescent="0.2">
      <c r="A266" s="80"/>
      <c r="B266" s="41" t="s">
        <v>533</v>
      </c>
      <c r="C266" s="41" t="s">
        <v>534</v>
      </c>
      <c r="D266" s="41" t="s">
        <v>486</v>
      </c>
      <c r="E266" s="51" t="s">
        <v>526</v>
      </c>
      <c r="F266" s="45" t="str">
        <f>_xlfn.XLOOKUP(TableFA21323[[#This Row],[Project]],Projects[Project],Projects[Full Name],"")</f>
        <v>Esteban Oliva</v>
      </c>
      <c r="G266" s="45" t="str">
        <f>_xlfn.XLOOKUP(TableFA21323[[#This Row],[Project]],Projects[Project],Projects[Work Email (no gmail/hotmail/etc.)],"")</f>
        <v>eoliv080@fiu.edu</v>
      </c>
      <c r="H266" s="45" t="str">
        <f>_xlfn.XLOOKUP(TableFA21323[[#This Row],[Project]],Projects[Project],Projects[Affiliation (Company/University/Place of Work)],"")</f>
        <v>Florida International University</v>
      </c>
      <c r="I266" s="44">
        <f>COUNTIFS(TableFA21323[Project],TableFA21323[[#This Row],[Project]],TableFA21323[Program],TableFA21323[[#This Row],[Program]])</f>
        <v>5</v>
      </c>
      <c r="J266" s="44">
        <f>COUNTIFS(TableFA21323[Project],TableFA21323[[#This Row],[Project]])</f>
        <v>5</v>
      </c>
      <c r="K266" s="45"/>
    </row>
    <row r="267" spans="1:11" x14ac:dyDescent="0.2">
      <c r="F267" s="1"/>
      <c r="G267" s="1"/>
      <c r="H267" s="1"/>
      <c r="I267" s="1"/>
      <c r="J267" s="1"/>
      <c r="K267" s="1"/>
    </row>
    <row r="268" spans="1:11" s="41" customFormat="1" x14ac:dyDescent="0.2">
      <c r="A268" s="80">
        <v>48</v>
      </c>
      <c r="B268" s="41" t="s">
        <v>538</v>
      </c>
      <c r="C268" s="41" t="s">
        <v>539</v>
      </c>
      <c r="D268" s="41" t="s">
        <v>486</v>
      </c>
      <c r="E268" s="45" t="s">
        <v>537</v>
      </c>
      <c r="F268" s="45" t="str">
        <f>_xlfn.XLOOKUP(TableFA21323[[#This Row],[Project]],Projects[Project],Projects[Full Name],"")</f>
        <v>Jayden Sandoval</v>
      </c>
      <c r="G268" s="45" t="str">
        <f>_xlfn.XLOOKUP(TableFA21323[[#This Row],[Project]],Projects[Project],Projects[Work Email (no gmail/hotmail/etc.)],"")</f>
        <v>jsand146@fiu.edu</v>
      </c>
      <c r="H268" s="45" t="str">
        <f>_xlfn.XLOOKUP(TableFA21323[[#This Row],[Project]],Projects[Project],Projects[Affiliation (Company/University/Place of Work)],"")</f>
        <v>Florida International University</v>
      </c>
      <c r="I268" s="44">
        <f>COUNTIFS(TableFA21323[Project],TableFA21323[[#This Row],[Project]],TableFA21323[Program],TableFA21323[[#This Row],[Program]])</f>
        <v>4</v>
      </c>
      <c r="J268" s="44">
        <f>COUNTIFS(TableFA21323[Project],TableFA21323[[#This Row],[Project]])</f>
        <v>4</v>
      </c>
      <c r="K268" s="45"/>
    </row>
    <row r="269" spans="1:11" s="41" customFormat="1" x14ac:dyDescent="0.2">
      <c r="A269" s="80"/>
      <c r="B269" s="41" t="s">
        <v>540</v>
      </c>
      <c r="C269" s="41" t="s">
        <v>541</v>
      </c>
      <c r="D269" s="41" t="s">
        <v>486</v>
      </c>
      <c r="E269" s="45" t="s">
        <v>537</v>
      </c>
      <c r="F269" s="45" t="str">
        <f>_xlfn.XLOOKUP(TableFA21323[[#This Row],[Project]],Projects[Project],Projects[Full Name],"")</f>
        <v>Jayden Sandoval</v>
      </c>
      <c r="G269" s="45" t="str">
        <f>_xlfn.XLOOKUP(TableFA21323[[#This Row],[Project]],Projects[Project],Projects[Work Email (no gmail/hotmail/etc.)],"")</f>
        <v>jsand146@fiu.edu</v>
      </c>
      <c r="H269" s="45" t="str">
        <f>_xlfn.XLOOKUP(TableFA21323[[#This Row],[Project]],Projects[Project],Projects[Affiliation (Company/University/Place of Work)],"")</f>
        <v>Florida International University</v>
      </c>
      <c r="I269" s="44">
        <f>COUNTIFS(TableFA21323[Project],TableFA21323[[#This Row],[Project]],TableFA21323[Program],TableFA21323[[#This Row],[Program]])</f>
        <v>4</v>
      </c>
      <c r="J269" s="44">
        <f>COUNTIFS(TableFA21323[Project],TableFA21323[[#This Row],[Project]])</f>
        <v>4</v>
      </c>
      <c r="K269" s="45"/>
    </row>
    <row r="270" spans="1:11" s="41" customFormat="1" x14ac:dyDescent="0.2">
      <c r="A270" s="80"/>
      <c r="B270" s="41" t="s">
        <v>542</v>
      </c>
      <c r="C270" s="41" t="s">
        <v>543</v>
      </c>
      <c r="D270" s="41" t="s">
        <v>486</v>
      </c>
      <c r="E270" s="41" t="s">
        <v>537</v>
      </c>
      <c r="F270" s="45" t="str">
        <f>_xlfn.XLOOKUP(TableFA21323[[#This Row],[Project]],Projects[Project],Projects[Full Name],"")</f>
        <v>Jayden Sandoval</v>
      </c>
      <c r="G270" s="45" t="str">
        <f>_xlfn.XLOOKUP(TableFA21323[[#This Row],[Project]],Projects[Project],Projects[Work Email (no gmail/hotmail/etc.)],"")</f>
        <v>jsand146@fiu.edu</v>
      </c>
      <c r="H270" s="45" t="str">
        <f>_xlfn.XLOOKUP(TableFA21323[[#This Row],[Project]],Projects[Project],Projects[Affiliation (Company/University/Place of Work)],"")</f>
        <v>Florida International University</v>
      </c>
      <c r="I270" s="44">
        <f>COUNTIFS(TableFA21323[Project],TableFA21323[[#This Row],[Project]],TableFA21323[Program],TableFA21323[[#This Row],[Program]])</f>
        <v>4</v>
      </c>
      <c r="J270" s="44">
        <f>COUNTIFS(TableFA21323[Project],TableFA21323[[#This Row],[Project]])</f>
        <v>4</v>
      </c>
      <c r="K270" s="45"/>
    </row>
    <row r="271" spans="1:11" s="41" customFormat="1" x14ac:dyDescent="0.2">
      <c r="A271" s="80"/>
      <c r="B271" s="41" t="s">
        <v>535</v>
      </c>
      <c r="C271" s="43" t="s">
        <v>536</v>
      </c>
      <c r="D271" s="43" t="s">
        <v>486</v>
      </c>
      <c r="E271" s="43" t="s">
        <v>537</v>
      </c>
      <c r="F271" s="44" t="str">
        <f>_xlfn.XLOOKUP(TableFA21323[[#This Row],[Project]],Projects[Project],Projects[Full Name],"")</f>
        <v>Jayden Sandoval</v>
      </c>
      <c r="G271" s="44" t="str">
        <f>_xlfn.XLOOKUP(TableFA21323[[#This Row],[Project]],Projects[Project],Projects[Work Email (no gmail/hotmail/etc.)],"")</f>
        <v>jsand146@fiu.edu</v>
      </c>
      <c r="H271" s="44" t="str">
        <f>_xlfn.XLOOKUP(TableFA21323[[#This Row],[Project]],Projects[Project],Projects[Affiliation (Company/University/Place of Work)],"")</f>
        <v>Florida International University</v>
      </c>
      <c r="I271" s="44">
        <f>COUNTIFS(TableFA21323[Project],TableFA21323[[#This Row],[Project]],TableFA21323[Program],TableFA21323[[#This Row],[Program]])</f>
        <v>4</v>
      </c>
      <c r="J271" s="44">
        <f>COUNTIFS(TableFA21323[Project],TableFA21323[[#This Row],[Project]])</f>
        <v>4</v>
      </c>
      <c r="K271" s="45"/>
    </row>
    <row r="272" spans="1:11" x14ac:dyDescent="0.2">
      <c r="F272" s="1"/>
      <c r="G272" s="1"/>
      <c r="H272" s="1"/>
      <c r="I272" s="1"/>
      <c r="J272" s="1"/>
      <c r="K272" s="1"/>
    </row>
    <row r="273" spans="1:11" s="42" customFormat="1" x14ac:dyDescent="0.2">
      <c r="A273" s="84">
        <v>49</v>
      </c>
      <c r="B273" s="42" t="s">
        <v>547</v>
      </c>
      <c r="C273" s="42" t="s">
        <v>548</v>
      </c>
      <c r="D273" s="42" t="s">
        <v>486</v>
      </c>
      <c r="E273" s="54" t="s">
        <v>546</v>
      </c>
      <c r="F273" s="54" t="str">
        <f>_xlfn.XLOOKUP(TableFA21323[[#This Row],[Project]],Projects[Project],Projects[Full Name],"")</f>
        <v>Giordano Galarce</v>
      </c>
      <c r="G273" s="54" t="str">
        <f>_xlfn.XLOOKUP(TableFA21323[[#This Row],[Project]],Projects[Project],Projects[Work Email (no gmail/hotmail/etc.)],"")</f>
        <v>ggala016@fiu.edu</v>
      </c>
      <c r="H273" s="54" t="str">
        <f>_xlfn.XLOOKUP(TableFA21323[[#This Row],[Project]],Projects[Project],Projects[Affiliation (Company/University/Place of Work)],"")</f>
        <v>Florida International University</v>
      </c>
      <c r="I273" s="55">
        <f>COUNTIFS(TableFA21323[Project],TableFA21323[[#This Row],[Project]],TableFA21323[Program],TableFA21323[[#This Row],[Program]])</f>
        <v>4</v>
      </c>
      <c r="J273" s="55">
        <f>COUNTIFS(TableFA21323[Project],TableFA21323[[#This Row],[Project]])</f>
        <v>4</v>
      </c>
      <c r="K273" s="54"/>
    </row>
    <row r="274" spans="1:11" s="42" customFormat="1" x14ac:dyDescent="0.2">
      <c r="A274" s="84"/>
      <c r="B274" s="56" t="s">
        <v>544</v>
      </c>
      <c r="C274" s="56" t="s">
        <v>545</v>
      </c>
      <c r="D274" s="56" t="s">
        <v>486</v>
      </c>
      <c r="E274" s="55" t="s">
        <v>546</v>
      </c>
      <c r="F274" s="55" t="str">
        <f>_xlfn.XLOOKUP(TableFA21323[[#This Row],[Project]],Projects[Project],Projects[Full Name],"")</f>
        <v>Giordano Galarce</v>
      </c>
      <c r="G274" s="55" t="str">
        <f>_xlfn.XLOOKUP(TableFA21323[[#This Row],[Project]],Projects[Project],Projects[Work Email (no gmail/hotmail/etc.)],"")</f>
        <v>ggala016@fiu.edu</v>
      </c>
      <c r="H274" s="55" t="str">
        <f>_xlfn.XLOOKUP(TableFA21323[[#This Row],[Project]],Projects[Project],Projects[Affiliation (Company/University/Place of Work)],"")</f>
        <v>Florida International University</v>
      </c>
      <c r="I274" s="55">
        <f>COUNTIFS(TableFA21323[Project],TableFA21323[[#This Row],[Project]],TableFA21323[Program],TableFA21323[[#This Row],[Program]])</f>
        <v>4</v>
      </c>
      <c r="J274" s="55">
        <f>COUNTIFS(TableFA21323[Project],TableFA21323[[#This Row],[Project]])</f>
        <v>4</v>
      </c>
      <c r="K274" s="54"/>
    </row>
    <row r="275" spans="1:11" s="42" customFormat="1" x14ac:dyDescent="0.2">
      <c r="A275" s="84"/>
      <c r="B275" s="42" t="s">
        <v>549</v>
      </c>
      <c r="C275" s="42" t="s">
        <v>550</v>
      </c>
      <c r="D275" s="42" t="s">
        <v>486</v>
      </c>
      <c r="E275" s="54" t="s">
        <v>546</v>
      </c>
      <c r="F275" s="54" t="str">
        <f>_xlfn.XLOOKUP(TableFA21323[[#This Row],[Project]],Projects[Project],Projects[Full Name],"")</f>
        <v>Giordano Galarce</v>
      </c>
      <c r="G275" s="54" t="str">
        <f>_xlfn.XLOOKUP(TableFA21323[[#This Row],[Project]],Projects[Project],Projects[Work Email (no gmail/hotmail/etc.)],"")</f>
        <v>ggala016@fiu.edu</v>
      </c>
      <c r="H275" s="54" t="str">
        <f>_xlfn.XLOOKUP(TableFA21323[[#This Row],[Project]],Projects[Project],Projects[Affiliation (Company/University/Place of Work)],"")</f>
        <v>Florida International University</v>
      </c>
      <c r="I275" s="55">
        <f>COUNTIFS(TableFA21323[Project],TableFA21323[[#This Row],[Project]],TableFA21323[Program],TableFA21323[[#This Row],[Program]])</f>
        <v>4</v>
      </c>
      <c r="J275" s="55">
        <f>COUNTIFS(TableFA21323[Project],TableFA21323[[#This Row],[Project]])</f>
        <v>4</v>
      </c>
      <c r="K275" s="54"/>
    </row>
    <row r="276" spans="1:11" s="42" customFormat="1" x14ac:dyDescent="0.2">
      <c r="A276" s="84"/>
      <c r="B276" s="42" t="s">
        <v>551</v>
      </c>
      <c r="C276" s="42" t="s">
        <v>552</v>
      </c>
      <c r="D276" s="42" t="s">
        <v>486</v>
      </c>
      <c r="E276" s="54" t="s">
        <v>546</v>
      </c>
      <c r="F276" s="54" t="str">
        <f>_xlfn.XLOOKUP(TableFA21323[[#This Row],[Project]],Projects[Project],Projects[Full Name],"")</f>
        <v>Giordano Galarce</v>
      </c>
      <c r="G276" s="54" t="str">
        <f>_xlfn.XLOOKUP(TableFA21323[[#This Row],[Project]],Projects[Project],Projects[Work Email (no gmail/hotmail/etc.)],"")</f>
        <v>ggala016@fiu.edu</v>
      </c>
      <c r="H276" s="54" t="str">
        <f>_xlfn.XLOOKUP(TableFA21323[[#This Row],[Project]],Projects[Project],Projects[Affiliation (Company/University/Place of Work)],"")</f>
        <v>Florida International University</v>
      </c>
      <c r="I276" s="55">
        <f>COUNTIFS(TableFA21323[Project],TableFA21323[[#This Row],[Project]],TableFA21323[Program],TableFA21323[[#This Row],[Program]])</f>
        <v>4</v>
      </c>
      <c r="J276" s="55">
        <f>COUNTIFS(TableFA21323[Project],TableFA21323[[#This Row],[Project]])</f>
        <v>4</v>
      </c>
      <c r="K276" s="54"/>
    </row>
    <row r="277" spans="1:11" x14ac:dyDescent="0.2">
      <c r="E277" s="1"/>
      <c r="F277" s="1"/>
      <c r="G277" s="1"/>
      <c r="H277" s="1"/>
      <c r="I277" s="1"/>
      <c r="J277" s="1"/>
      <c r="K277" s="1"/>
    </row>
    <row r="278" spans="1:11" s="41" customFormat="1" x14ac:dyDescent="0.2">
      <c r="A278" s="80">
        <v>50</v>
      </c>
      <c r="B278" s="41" t="s">
        <v>556</v>
      </c>
      <c r="C278" s="41" t="s">
        <v>557</v>
      </c>
      <c r="D278" s="41" t="s">
        <v>486</v>
      </c>
      <c r="E278" s="45" t="s">
        <v>555</v>
      </c>
      <c r="F278" s="45" t="str">
        <f>_xlfn.XLOOKUP(TableFA21323[[#This Row],[Project]],Projects[Project],Projects[Full Name],"")</f>
        <v>Felipe Lorenzo</v>
      </c>
      <c r="G278" s="45" t="str">
        <f>_xlfn.XLOOKUP(TableFA21323[[#This Row],[Project]],Projects[Project],Projects[Work Email (no gmail/hotmail/etc.)],"")</f>
        <v>flore016@fiu.edu</v>
      </c>
      <c r="H278" s="45" t="str">
        <f>_xlfn.XLOOKUP(TableFA21323[[#This Row],[Project]],Projects[Project],Projects[Affiliation (Company/University/Place of Work)],"")</f>
        <v>Florida International University</v>
      </c>
      <c r="I278" s="44">
        <f>COUNTIFS(TableFA21323[Project],TableFA21323[[#This Row],[Project]],TableFA21323[Program],TableFA21323[[#This Row],[Program]])</f>
        <v>5</v>
      </c>
      <c r="J278" s="44">
        <f>COUNTIFS(TableFA21323[Project],TableFA21323[[#This Row],[Project]])</f>
        <v>5</v>
      </c>
      <c r="K278" s="45"/>
    </row>
    <row r="279" spans="1:11" s="41" customFormat="1" x14ac:dyDescent="0.2">
      <c r="A279" s="80"/>
      <c r="B279" s="43" t="s">
        <v>553</v>
      </c>
      <c r="C279" s="43" t="s">
        <v>554</v>
      </c>
      <c r="D279" s="43" t="s">
        <v>486</v>
      </c>
      <c r="E279" s="44" t="s">
        <v>555</v>
      </c>
      <c r="F279" s="45" t="str">
        <f>_xlfn.XLOOKUP(TableFA21323[[#This Row],[Project]],Projects[Project],Projects[Full Name],"")</f>
        <v>Felipe Lorenzo</v>
      </c>
      <c r="G279" s="45" t="str">
        <f>_xlfn.XLOOKUP(TableFA21323[[#This Row],[Project]],Projects[Project],Projects[Work Email (no gmail/hotmail/etc.)],"")</f>
        <v>flore016@fiu.edu</v>
      </c>
      <c r="H279" s="45" t="str">
        <f>_xlfn.XLOOKUP(TableFA21323[[#This Row],[Project]],Projects[Project],Projects[Affiliation (Company/University/Place of Work)],"")</f>
        <v>Florida International University</v>
      </c>
      <c r="I279" s="44">
        <f>COUNTIFS(TableFA21323[Project],TableFA21323[[#This Row],[Project]],TableFA21323[Program],TableFA21323[[#This Row],[Program]])</f>
        <v>5</v>
      </c>
      <c r="J279" s="44">
        <f>COUNTIFS(TableFA21323[Project],TableFA21323[[#This Row],[Project]])</f>
        <v>5</v>
      </c>
      <c r="K279" s="45"/>
    </row>
    <row r="280" spans="1:11" s="41" customFormat="1" x14ac:dyDescent="0.2">
      <c r="A280" s="80"/>
      <c r="B280" s="41" t="s">
        <v>558</v>
      </c>
      <c r="C280" s="41" t="s">
        <v>559</v>
      </c>
      <c r="D280" s="41" t="s">
        <v>486</v>
      </c>
      <c r="E280" s="45" t="s">
        <v>555</v>
      </c>
      <c r="F280" s="45" t="str">
        <f>_xlfn.XLOOKUP(TableFA21323[[#This Row],[Project]],Projects[Project],Projects[Full Name],"")</f>
        <v>Felipe Lorenzo</v>
      </c>
      <c r="G280" s="45" t="str">
        <f>_xlfn.XLOOKUP(TableFA21323[[#This Row],[Project]],Projects[Project],Projects[Work Email (no gmail/hotmail/etc.)],"")</f>
        <v>flore016@fiu.edu</v>
      </c>
      <c r="H280" s="45" t="str">
        <f>_xlfn.XLOOKUP(TableFA21323[[#This Row],[Project]],Projects[Project],Projects[Affiliation (Company/University/Place of Work)],"")</f>
        <v>Florida International University</v>
      </c>
      <c r="I280" s="44">
        <f>COUNTIFS(TableFA21323[Project],TableFA21323[[#This Row],[Project]],TableFA21323[Program],TableFA21323[[#This Row],[Program]])</f>
        <v>5</v>
      </c>
      <c r="J280" s="44">
        <f>COUNTIFS(TableFA21323[Project],TableFA21323[[#This Row],[Project]])</f>
        <v>5</v>
      </c>
      <c r="K280" s="45"/>
    </row>
    <row r="281" spans="1:11" s="41" customFormat="1" x14ac:dyDescent="0.2">
      <c r="A281" s="80"/>
      <c r="B281" s="41" t="s">
        <v>560</v>
      </c>
      <c r="C281" s="41" t="s">
        <v>561</v>
      </c>
      <c r="D281" s="41" t="s">
        <v>486</v>
      </c>
      <c r="E281" s="45" t="s">
        <v>555</v>
      </c>
      <c r="F281" s="45" t="str">
        <f>_xlfn.XLOOKUP(TableFA21323[[#This Row],[Project]],Projects[Project],Projects[Full Name],"")</f>
        <v>Felipe Lorenzo</v>
      </c>
      <c r="G281" s="45" t="str">
        <f>_xlfn.XLOOKUP(TableFA21323[[#This Row],[Project]],Projects[Project],Projects[Work Email (no gmail/hotmail/etc.)],"")</f>
        <v>flore016@fiu.edu</v>
      </c>
      <c r="H281" s="45" t="str">
        <f>_xlfn.XLOOKUP(TableFA21323[[#This Row],[Project]],Projects[Project],Projects[Affiliation (Company/University/Place of Work)],"")</f>
        <v>Florida International University</v>
      </c>
      <c r="I281" s="44">
        <f>COUNTIFS(TableFA21323[Project],TableFA21323[[#This Row],[Project]],TableFA21323[Program],TableFA21323[[#This Row],[Program]])</f>
        <v>5</v>
      </c>
      <c r="J281" s="44">
        <f>COUNTIFS(TableFA21323[Project],TableFA21323[[#This Row],[Project]])</f>
        <v>5</v>
      </c>
      <c r="K281" s="45"/>
    </row>
    <row r="282" spans="1:11" s="41" customFormat="1" x14ac:dyDescent="0.2">
      <c r="A282" s="80"/>
      <c r="B282" s="41" t="s">
        <v>562</v>
      </c>
      <c r="C282" s="41" t="s">
        <v>563</v>
      </c>
      <c r="D282" s="41" t="s">
        <v>486</v>
      </c>
      <c r="E282" s="45" t="s">
        <v>555</v>
      </c>
      <c r="F282" s="45" t="str">
        <f>_xlfn.XLOOKUP(TableFA21323[[#This Row],[Project]],Projects[Project],Projects[Full Name],"")</f>
        <v>Felipe Lorenzo</v>
      </c>
      <c r="G282" s="45" t="str">
        <f>_xlfn.XLOOKUP(TableFA21323[[#This Row],[Project]],Projects[Project],Projects[Work Email (no gmail/hotmail/etc.)],"")</f>
        <v>flore016@fiu.edu</v>
      </c>
      <c r="H282" s="45" t="str">
        <f>_xlfn.XLOOKUP(TableFA21323[[#This Row],[Project]],Projects[Project],Projects[Affiliation (Company/University/Place of Work)],"")</f>
        <v>Florida International University</v>
      </c>
      <c r="I282" s="44">
        <f>COUNTIFS(TableFA21323[Project],TableFA21323[[#This Row],[Project]],TableFA21323[Program],TableFA21323[[#This Row],[Program]])</f>
        <v>5</v>
      </c>
      <c r="J282" s="44">
        <f>COUNTIFS(TableFA21323[Project],TableFA21323[[#This Row],[Project]])</f>
        <v>5</v>
      </c>
      <c r="K282" s="45"/>
    </row>
    <row r="283" spans="1:11" x14ac:dyDescent="0.2">
      <c r="E283" s="1"/>
      <c r="F283" s="1"/>
      <c r="G283" s="1"/>
      <c r="H283" s="1"/>
      <c r="I283" s="1"/>
      <c r="J283" s="1"/>
      <c r="K283" s="1"/>
    </row>
    <row r="284" spans="1:11" s="41" customFormat="1" x14ac:dyDescent="0.2">
      <c r="A284" s="80">
        <v>51</v>
      </c>
      <c r="B284" s="41" t="s">
        <v>567</v>
      </c>
      <c r="C284" s="41" t="s">
        <v>568</v>
      </c>
      <c r="D284" s="41" t="s">
        <v>486</v>
      </c>
      <c r="E284" s="41" t="s">
        <v>566</v>
      </c>
      <c r="F284" s="45" t="str">
        <f>_xlfn.XLOOKUP(TableFA21323[[#This Row],[Project]],Projects[Project],Projects[Full Name],"")</f>
        <v>Miladys Perez</v>
      </c>
      <c r="G284" s="45" t="str">
        <f>_xlfn.XLOOKUP(TableFA21323[[#This Row],[Project]],Projects[Project],Projects[Work Email (no gmail/hotmail/etc.)],"")</f>
        <v>mpere954@fiu.edu</v>
      </c>
      <c r="H284" s="45" t="str">
        <f>_xlfn.XLOOKUP(TableFA21323[[#This Row],[Project]],Projects[Project],Projects[Affiliation (Company/University/Place of Work)],"")</f>
        <v>Florida International University</v>
      </c>
      <c r="I284" s="44">
        <f>COUNTIFS(TableFA21323[Project],TableFA21323[[#This Row],[Project]],TableFA21323[Program],TableFA21323[[#This Row],[Program]])</f>
        <v>5</v>
      </c>
      <c r="J284" s="44">
        <f>COUNTIFS(TableFA21323[Project],TableFA21323[[#This Row],[Project]])</f>
        <v>5</v>
      </c>
      <c r="K284" s="45"/>
    </row>
    <row r="285" spans="1:11" s="41" customFormat="1" x14ac:dyDescent="0.2">
      <c r="A285" s="80"/>
      <c r="B285" s="41" t="s">
        <v>569</v>
      </c>
      <c r="C285" s="41" t="s">
        <v>570</v>
      </c>
      <c r="D285" s="41" t="s">
        <v>486</v>
      </c>
      <c r="E285" s="45" t="s">
        <v>566</v>
      </c>
      <c r="F285" s="45" t="str">
        <f>_xlfn.XLOOKUP(TableFA21323[[#This Row],[Project]],Projects[Project],Projects[Full Name],"")</f>
        <v>Miladys Perez</v>
      </c>
      <c r="G285" s="45" t="str">
        <f>_xlfn.XLOOKUP(TableFA21323[[#This Row],[Project]],Projects[Project],Projects[Work Email (no gmail/hotmail/etc.)],"")</f>
        <v>mpere954@fiu.edu</v>
      </c>
      <c r="H285" s="45" t="str">
        <f>_xlfn.XLOOKUP(TableFA21323[[#This Row],[Project]],Projects[Project],Projects[Affiliation (Company/University/Place of Work)],"")</f>
        <v>Florida International University</v>
      </c>
      <c r="I285" s="44">
        <f>COUNTIFS(TableFA21323[Project],TableFA21323[[#This Row],[Project]],TableFA21323[Program],TableFA21323[[#This Row],[Program]])</f>
        <v>5</v>
      </c>
      <c r="J285" s="44">
        <f>COUNTIFS(TableFA21323[Project],TableFA21323[[#This Row],[Project]])</f>
        <v>5</v>
      </c>
      <c r="K285" s="45"/>
    </row>
    <row r="286" spans="1:11" s="41" customFormat="1" x14ac:dyDescent="0.2">
      <c r="A286" s="80"/>
      <c r="B286" s="43" t="s">
        <v>564</v>
      </c>
      <c r="C286" s="43" t="s">
        <v>565</v>
      </c>
      <c r="D286" s="43" t="s">
        <v>486</v>
      </c>
      <c r="E286" s="44" t="s">
        <v>566</v>
      </c>
      <c r="F286" s="44" t="str">
        <f>_xlfn.XLOOKUP(TableFA21323[[#This Row],[Project]],Projects[Project],Projects[Full Name],"")</f>
        <v>Miladys Perez</v>
      </c>
      <c r="G286" s="44" t="str">
        <f>_xlfn.XLOOKUP(TableFA21323[[#This Row],[Project]],Projects[Project],Projects[Work Email (no gmail/hotmail/etc.)],"")</f>
        <v>mpere954@fiu.edu</v>
      </c>
      <c r="H286" s="44" t="str">
        <f>_xlfn.XLOOKUP(TableFA21323[[#This Row],[Project]],Projects[Project],Projects[Affiliation (Company/University/Place of Work)],"")</f>
        <v>Florida International University</v>
      </c>
      <c r="I286" s="44">
        <f>COUNTIFS(TableFA21323[Project],TableFA21323[[#This Row],[Project]],TableFA21323[Program],TableFA21323[[#This Row],[Program]])</f>
        <v>5</v>
      </c>
      <c r="J286" s="44">
        <f>COUNTIFS(TableFA21323[Project],TableFA21323[[#This Row],[Project]])</f>
        <v>5</v>
      </c>
      <c r="K286" s="45"/>
    </row>
    <row r="287" spans="1:11" s="41" customFormat="1" x14ac:dyDescent="0.2">
      <c r="A287" s="80"/>
      <c r="B287" s="41" t="s">
        <v>571</v>
      </c>
      <c r="C287" s="41" t="s">
        <v>572</v>
      </c>
      <c r="D287" s="41" t="s">
        <v>486</v>
      </c>
      <c r="E287" s="45" t="s">
        <v>566</v>
      </c>
      <c r="F287" s="45" t="str">
        <f>_xlfn.XLOOKUP(TableFA21323[[#This Row],[Project]],Projects[Project],Projects[Full Name],"")</f>
        <v>Miladys Perez</v>
      </c>
      <c r="G287" s="45" t="str">
        <f>_xlfn.XLOOKUP(TableFA21323[[#This Row],[Project]],Projects[Project],Projects[Work Email (no gmail/hotmail/etc.)],"")</f>
        <v>mpere954@fiu.edu</v>
      </c>
      <c r="H287" s="45" t="str">
        <f>_xlfn.XLOOKUP(TableFA21323[[#This Row],[Project]],Projects[Project],Projects[Affiliation (Company/University/Place of Work)],"")</f>
        <v>Florida International University</v>
      </c>
      <c r="I287" s="44">
        <f>COUNTIFS(TableFA21323[Project],TableFA21323[[#This Row],[Project]],TableFA21323[Program],TableFA21323[[#This Row],[Program]])</f>
        <v>5</v>
      </c>
      <c r="J287" s="44">
        <f>COUNTIFS(TableFA21323[Project],TableFA21323[[#This Row],[Project]])</f>
        <v>5</v>
      </c>
      <c r="K287" s="45"/>
    </row>
    <row r="288" spans="1:11" s="41" customFormat="1" x14ac:dyDescent="0.2">
      <c r="A288" s="80"/>
      <c r="B288" s="41" t="s">
        <v>573</v>
      </c>
      <c r="C288" s="41" t="s">
        <v>574</v>
      </c>
      <c r="D288" s="41" t="s">
        <v>486</v>
      </c>
      <c r="E288" s="45" t="s">
        <v>566</v>
      </c>
      <c r="F288" s="45" t="str">
        <f>_xlfn.XLOOKUP(TableFA21323[[#This Row],[Project]],Projects[Project],Projects[Full Name],"")</f>
        <v>Miladys Perez</v>
      </c>
      <c r="G288" s="45" t="str">
        <f>_xlfn.XLOOKUP(TableFA21323[[#This Row],[Project]],Projects[Project],Projects[Work Email (no gmail/hotmail/etc.)],"")</f>
        <v>mpere954@fiu.edu</v>
      </c>
      <c r="H288" s="45" t="str">
        <f>_xlfn.XLOOKUP(TableFA21323[[#This Row],[Project]],Projects[Project],Projects[Affiliation (Company/University/Place of Work)],"")</f>
        <v>Florida International University</v>
      </c>
      <c r="I288" s="44">
        <f>COUNTIFS(TableFA21323[Project],TableFA21323[[#This Row],[Project]],TableFA21323[Program],TableFA21323[[#This Row],[Program]])</f>
        <v>5</v>
      </c>
      <c r="J288" s="44">
        <f>COUNTIFS(TableFA21323[Project],TableFA21323[[#This Row],[Project]])</f>
        <v>5</v>
      </c>
      <c r="K288" s="45"/>
    </row>
    <row r="289" spans="1:11" x14ac:dyDescent="0.2">
      <c r="E289" s="1"/>
      <c r="F289" s="1"/>
      <c r="G289" s="1"/>
      <c r="H289" s="1"/>
      <c r="I289" s="1"/>
      <c r="J289" s="1"/>
      <c r="K289" s="1"/>
    </row>
    <row r="290" spans="1:11" s="42" customFormat="1" x14ac:dyDescent="0.2">
      <c r="A290" s="84">
        <v>52</v>
      </c>
      <c r="B290" s="42" t="s">
        <v>575</v>
      </c>
      <c r="C290" s="42" t="s">
        <v>576</v>
      </c>
      <c r="D290" s="42" t="s">
        <v>486</v>
      </c>
      <c r="E290" s="54" t="s">
        <v>577</v>
      </c>
      <c r="F290" s="54" t="str">
        <f>_xlfn.XLOOKUP(TableFA21323[[#This Row],[Project]],Projects[Project],Projects[Full Name],"")</f>
        <v>Christian Pereira</v>
      </c>
      <c r="G290" s="54" t="str">
        <f>_xlfn.XLOOKUP(TableFA21323[[#This Row],[Project]],Projects[Project],Projects[Work Email (no gmail/hotmail/etc.)],"")</f>
        <v>cpere583@fiu.edu</v>
      </c>
      <c r="H290" s="54" t="str">
        <f>_xlfn.XLOOKUP(TableFA21323[[#This Row],[Project]],Projects[Project],Projects[Affiliation (Company/University/Place of Work)],"")</f>
        <v>Florida International University</v>
      </c>
      <c r="I290" s="55">
        <f>COUNTIFS(TableFA21323[Project],TableFA21323[[#This Row],[Project]],TableFA21323[Program],TableFA21323[[#This Row],[Program]])</f>
        <v>5</v>
      </c>
      <c r="J290" s="55">
        <f>COUNTIFS(TableFA21323[Project],TableFA21323[[#This Row],[Project]])</f>
        <v>5</v>
      </c>
      <c r="K290" s="54"/>
    </row>
    <row r="291" spans="1:11" s="42" customFormat="1" x14ac:dyDescent="0.2">
      <c r="A291" s="84"/>
      <c r="B291" s="42" t="s">
        <v>578</v>
      </c>
      <c r="C291" s="42" t="s">
        <v>579</v>
      </c>
      <c r="D291" s="42" t="s">
        <v>486</v>
      </c>
      <c r="E291" s="54" t="s">
        <v>577</v>
      </c>
      <c r="F291" s="54" t="str">
        <f>_xlfn.XLOOKUP(TableFA21323[[#This Row],[Project]],Projects[Project],Projects[Full Name],"")</f>
        <v>Christian Pereira</v>
      </c>
      <c r="G291" s="54" t="str">
        <f>_xlfn.XLOOKUP(TableFA21323[[#This Row],[Project]],Projects[Project],Projects[Work Email (no gmail/hotmail/etc.)],"")</f>
        <v>cpere583@fiu.edu</v>
      </c>
      <c r="H291" s="54" t="str">
        <f>_xlfn.XLOOKUP(TableFA21323[[#This Row],[Project]],Projects[Project],Projects[Affiliation (Company/University/Place of Work)],"")</f>
        <v>Florida International University</v>
      </c>
      <c r="I291" s="55">
        <f>COUNTIFS(TableFA21323[Project],TableFA21323[[#This Row],[Project]],TableFA21323[Program],TableFA21323[[#This Row],[Program]])</f>
        <v>5</v>
      </c>
      <c r="J291" s="55">
        <f>COUNTIFS(TableFA21323[Project],TableFA21323[[#This Row],[Project]])</f>
        <v>5</v>
      </c>
      <c r="K291" s="54"/>
    </row>
    <row r="292" spans="1:11" s="42" customFormat="1" x14ac:dyDescent="0.2">
      <c r="A292" s="84"/>
      <c r="B292" s="42" t="s">
        <v>580</v>
      </c>
      <c r="C292" s="42" t="s">
        <v>581</v>
      </c>
      <c r="D292" s="42" t="s">
        <v>486</v>
      </c>
      <c r="E292" s="54" t="s">
        <v>577</v>
      </c>
      <c r="F292" s="54" t="str">
        <f>_xlfn.XLOOKUP(TableFA21323[[#This Row],[Project]],Projects[Project],Projects[Full Name],"")</f>
        <v>Christian Pereira</v>
      </c>
      <c r="G292" s="54" t="str">
        <f>_xlfn.XLOOKUP(TableFA21323[[#This Row],[Project]],Projects[Project],Projects[Work Email (no gmail/hotmail/etc.)],"")</f>
        <v>cpere583@fiu.edu</v>
      </c>
      <c r="H292" s="54" t="str">
        <f>_xlfn.XLOOKUP(TableFA21323[[#This Row],[Project]],Projects[Project],Projects[Affiliation (Company/University/Place of Work)],"")</f>
        <v>Florida International University</v>
      </c>
      <c r="I292" s="55">
        <f>COUNTIFS(TableFA21323[Project],TableFA21323[[#This Row],[Project]],TableFA21323[Program],TableFA21323[[#This Row],[Program]])</f>
        <v>5</v>
      </c>
      <c r="J292" s="55">
        <f>COUNTIFS(TableFA21323[Project],TableFA21323[[#This Row],[Project]])</f>
        <v>5</v>
      </c>
      <c r="K292" s="54"/>
    </row>
    <row r="293" spans="1:11" s="42" customFormat="1" x14ac:dyDescent="0.2">
      <c r="A293" s="84"/>
      <c r="B293" s="42" t="s">
        <v>582</v>
      </c>
      <c r="C293" s="42" t="s">
        <v>583</v>
      </c>
      <c r="D293" s="42" t="s">
        <v>486</v>
      </c>
      <c r="E293" s="54" t="s">
        <v>577</v>
      </c>
      <c r="F293" s="54" t="str">
        <f>_xlfn.XLOOKUP(TableFA21323[[#This Row],[Project]],Projects[Project],Projects[Full Name],"")</f>
        <v>Christian Pereira</v>
      </c>
      <c r="G293" s="54" t="str">
        <f>_xlfn.XLOOKUP(TableFA21323[[#This Row],[Project]],Projects[Project],Projects[Work Email (no gmail/hotmail/etc.)],"")</f>
        <v>cpere583@fiu.edu</v>
      </c>
      <c r="H293" s="54" t="str">
        <f>_xlfn.XLOOKUP(TableFA21323[[#This Row],[Project]],Projects[Project],Projects[Affiliation (Company/University/Place of Work)],"")</f>
        <v>Florida International University</v>
      </c>
      <c r="I293" s="55">
        <f>COUNTIFS(TableFA21323[Project],TableFA21323[[#This Row],[Project]],TableFA21323[Program],TableFA21323[[#This Row],[Program]])</f>
        <v>5</v>
      </c>
      <c r="J293" s="55">
        <f>COUNTIFS(TableFA21323[Project],TableFA21323[[#This Row],[Project]])</f>
        <v>5</v>
      </c>
      <c r="K293" s="54"/>
    </row>
    <row r="294" spans="1:11" s="42" customFormat="1" x14ac:dyDescent="0.2">
      <c r="A294" s="84"/>
      <c r="B294" s="42" t="s">
        <v>584</v>
      </c>
      <c r="C294" s="42" t="s">
        <v>585</v>
      </c>
      <c r="D294" s="42" t="s">
        <v>486</v>
      </c>
      <c r="E294" s="54" t="s">
        <v>577</v>
      </c>
      <c r="F294" s="54" t="str">
        <f>_xlfn.XLOOKUP(TableFA21323[[#This Row],[Project]],Projects[Project],Projects[Full Name],"")</f>
        <v>Christian Pereira</v>
      </c>
      <c r="G294" s="54" t="str">
        <f>_xlfn.XLOOKUP(TableFA21323[[#This Row],[Project]],Projects[Project],Projects[Work Email (no gmail/hotmail/etc.)],"")</f>
        <v>cpere583@fiu.edu</v>
      </c>
      <c r="H294" s="54" t="str">
        <f>_xlfn.XLOOKUP(TableFA21323[[#This Row],[Project]],Projects[Project],Projects[Affiliation (Company/University/Place of Work)],"")</f>
        <v>Florida International University</v>
      </c>
      <c r="I294" s="55">
        <f>COUNTIFS(TableFA21323[Project],TableFA21323[[#This Row],[Project]],TableFA21323[Program],TableFA21323[[#This Row],[Program]])</f>
        <v>5</v>
      </c>
      <c r="J294" s="55">
        <f>COUNTIFS(TableFA21323[Project],TableFA21323[[#This Row],[Project]])</f>
        <v>5</v>
      </c>
      <c r="K294" s="54"/>
    </row>
    <row r="295" spans="1:11" x14ac:dyDescent="0.2">
      <c r="E295" s="1"/>
      <c r="F295" s="1"/>
      <c r="G295" s="1"/>
      <c r="H295" s="1"/>
      <c r="I295" s="1"/>
      <c r="J295" s="1"/>
      <c r="K295" s="1"/>
    </row>
    <row r="296" spans="1:11" s="41" customFormat="1" x14ac:dyDescent="0.2">
      <c r="A296" s="80">
        <v>53</v>
      </c>
      <c r="B296" s="41" t="s">
        <v>589</v>
      </c>
      <c r="C296" s="41" t="s">
        <v>590</v>
      </c>
      <c r="D296" s="41" t="s">
        <v>486</v>
      </c>
      <c r="E296" s="45" t="s">
        <v>588</v>
      </c>
      <c r="F296" s="45" t="str">
        <f>_xlfn.XLOOKUP(TableFA21323[[#This Row],[Project]],Projects[Project],Projects[Full Name],"")</f>
        <v>Jonathan Powell</v>
      </c>
      <c r="G296" s="45" t="str">
        <f>_xlfn.XLOOKUP(TableFA21323[[#This Row],[Project]],Projects[Project],Projects[Work Email (no gmail/hotmail/etc.)],"")</f>
        <v>jpowe007@fiu.edu</v>
      </c>
      <c r="H296" s="45" t="str">
        <f>_xlfn.XLOOKUP(TableFA21323[[#This Row],[Project]],Projects[Project],Projects[Affiliation (Company/University/Place of Work)],"")</f>
        <v>Florida International University</v>
      </c>
      <c r="I296" s="44">
        <f>COUNTIFS(TableFA21323[Project],TableFA21323[[#This Row],[Project]],TableFA21323[Program],TableFA21323[[#This Row],[Program]])</f>
        <v>3</v>
      </c>
      <c r="J296" s="44">
        <f>COUNTIFS(TableFA21323[Project],TableFA21323[[#This Row],[Project]])</f>
        <v>3</v>
      </c>
      <c r="K296" s="45"/>
    </row>
    <row r="297" spans="1:11" s="41" customFormat="1" x14ac:dyDescent="0.2">
      <c r="A297" s="80"/>
      <c r="B297" s="43" t="s">
        <v>586</v>
      </c>
      <c r="C297" s="43" t="s">
        <v>587</v>
      </c>
      <c r="D297" s="43" t="s">
        <v>486</v>
      </c>
      <c r="E297" s="44" t="s">
        <v>588</v>
      </c>
      <c r="F297" s="44" t="str">
        <f>_xlfn.XLOOKUP(TableFA21323[[#This Row],[Project]],Projects[Project],Projects[Full Name],"")</f>
        <v>Jonathan Powell</v>
      </c>
      <c r="G297" s="44" t="str">
        <f>_xlfn.XLOOKUP(TableFA21323[[#This Row],[Project]],Projects[Project],Projects[Work Email (no gmail/hotmail/etc.)],"")</f>
        <v>jpowe007@fiu.edu</v>
      </c>
      <c r="H297" s="44" t="str">
        <f>_xlfn.XLOOKUP(TableFA21323[[#This Row],[Project]],Projects[Project],Projects[Affiliation (Company/University/Place of Work)],"")</f>
        <v>Florida International University</v>
      </c>
      <c r="I297" s="44">
        <f>COUNTIFS(TableFA21323[Project],TableFA21323[[#This Row],[Project]],TableFA21323[Program],TableFA21323[[#This Row],[Program]])</f>
        <v>3</v>
      </c>
      <c r="J297" s="44">
        <f>COUNTIFS(TableFA21323[Project],TableFA21323[[#This Row],[Project]])</f>
        <v>3</v>
      </c>
      <c r="K297" s="45"/>
    </row>
    <row r="298" spans="1:11" s="41" customFormat="1" x14ac:dyDescent="0.2">
      <c r="A298" s="80"/>
      <c r="B298" s="41" t="s">
        <v>591</v>
      </c>
      <c r="C298" s="41" t="s">
        <v>592</v>
      </c>
      <c r="D298" s="41" t="s">
        <v>486</v>
      </c>
      <c r="E298" s="45" t="s">
        <v>588</v>
      </c>
      <c r="F298" s="45" t="str">
        <f>_xlfn.XLOOKUP(TableFA21323[[#This Row],[Project]],Projects[Project],Projects[Full Name],"")</f>
        <v>Jonathan Powell</v>
      </c>
      <c r="G298" s="45" t="str">
        <f>_xlfn.XLOOKUP(TableFA21323[[#This Row],[Project]],Projects[Project],Projects[Work Email (no gmail/hotmail/etc.)],"")</f>
        <v>jpowe007@fiu.edu</v>
      </c>
      <c r="H298" s="45" t="str">
        <f>_xlfn.XLOOKUP(TableFA21323[[#This Row],[Project]],Projects[Project],Projects[Affiliation (Company/University/Place of Work)],"")</f>
        <v>Florida International University</v>
      </c>
      <c r="I298" s="44">
        <f>COUNTIFS(TableFA21323[Project],TableFA21323[[#This Row],[Project]],TableFA21323[Program],TableFA21323[[#This Row],[Program]])</f>
        <v>3</v>
      </c>
      <c r="J298" s="44">
        <f>COUNTIFS(TableFA21323[Project],TableFA21323[[#This Row],[Project]])</f>
        <v>3</v>
      </c>
      <c r="K298" s="45"/>
    </row>
    <row r="299" spans="1:11" x14ac:dyDescent="0.2">
      <c r="B299" s="2" t="s">
        <v>374</v>
      </c>
      <c r="C299" s="2" t="s">
        <v>375</v>
      </c>
      <c r="D299" s="2" t="s">
        <v>31</v>
      </c>
      <c r="E299" s="36"/>
      <c r="F299" s="36" t="str">
        <f>_xlfn.XLOOKUP(TableFA21323[[#This Row],[Project]],Projects[Project],Projects[Full Name],"")</f>
        <v>Daniel Gonzalez</v>
      </c>
      <c r="G299" s="36" t="str">
        <f>_xlfn.XLOOKUP(TableFA21323[[#This Row],[Project]],Projects[Project],Projects[Work Email (no gmail/hotmail/etc.)],"")</f>
        <v>dgonz692@fiu.edu</v>
      </c>
      <c r="H299" s="36" t="str">
        <f>_xlfn.XLOOKUP(TableFA21323[[#This Row],[Project]],Projects[Project],Projects[Affiliation (Company/University/Place of Work)],"")</f>
        <v>Florida International University</v>
      </c>
      <c r="I299" s="37">
        <f>COUNTIFS(TableFA21323[Project],TableFA21323[[#This Row],[Project]],TableFA21323[Program],TableFA21323[[#This Row],[Program]])</f>
        <v>0</v>
      </c>
      <c r="J299" s="37">
        <f>COUNTIFS(TableFA21323[Project],TableFA21323[[#This Row],[Project]])</f>
        <v>0</v>
      </c>
      <c r="K299" s="1"/>
    </row>
    <row r="300" spans="1:11" x14ac:dyDescent="0.2">
      <c r="B300" t="s">
        <v>377</v>
      </c>
      <c r="C300" t="s">
        <v>378</v>
      </c>
      <c r="D300" s="1" t="s">
        <v>31</v>
      </c>
      <c r="E300" s="1"/>
      <c r="F300" s="1" t="str">
        <f>_xlfn.XLOOKUP(TableFA21323[[#This Row],[Project]],Projects[Project],Projects[Full Name],"")</f>
        <v>Daniel Gonzalez</v>
      </c>
      <c r="G300" s="1" t="str">
        <f>_xlfn.XLOOKUP(TableFA21323[[#This Row],[Project]],Projects[Project],Projects[Work Email (no gmail/hotmail/etc.)],"")</f>
        <v>dgonz692@fiu.edu</v>
      </c>
      <c r="H300" s="1" t="str">
        <f>_xlfn.XLOOKUP(TableFA21323[[#This Row],[Project]],Projects[Project],Projects[Affiliation (Company/University/Place of Work)],"")</f>
        <v>Florida International University</v>
      </c>
      <c r="I300" s="10">
        <f>COUNTIFS(TableFA21323[Project],TableFA21323[[#This Row],[Project]],TableFA21323[Program],TableFA21323[[#This Row],[Program]])</f>
        <v>0</v>
      </c>
      <c r="J300" s="10">
        <f>COUNTIFS(TableFA21323[Project],TableFA21323[[#This Row],[Project]])</f>
        <v>0</v>
      </c>
      <c r="K300" s="1"/>
    </row>
    <row r="301" spans="1:11" x14ac:dyDescent="0.2">
      <c r="B301" t="s">
        <v>379</v>
      </c>
      <c r="C301" t="s">
        <v>380</v>
      </c>
      <c r="D301" t="s">
        <v>31</v>
      </c>
      <c r="E301" s="1"/>
      <c r="F301" s="1" t="str">
        <f>_xlfn.XLOOKUP(TableFA21323[[#This Row],[Project]],Projects[Project],Projects[Full Name],"")</f>
        <v>Daniel Gonzalez</v>
      </c>
      <c r="G301" s="1" t="str">
        <f>_xlfn.XLOOKUP(TableFA21323[[#This Row],[Project]],Projects[Project],Projects[Work Email (no gmail/hotmail/etc.)],"")</f>
        <v>dgonz692@fiu.edu</v>
      </c>
      <c r="H301" s="1" t="str">
        <f>_xlfn.XLOOKUP(TableFA21323[[#This Row],[Project]],Projects[Project],Projects[Affiliation (Company/University/Place of Work)],"")</f>
        <v>Florida International University</v>
      </c>
      <c r="I301" s="10">
        <f>COUNTIFS(TableFA21323[Project],TableFA21323[[#This Row],[Project]],TableFA21323[Program],TableFA21323[[#This Row],[Program]])</f>
        <v>0</v>
      </c>
      <c r="J301" s="10">
        <f>COUNTIFS(TableFA21323[Project],TableFA21323[[#This Row],[Project]])</f>
        <v>0</v>
      </c>
      <c r="K301" s="1"/>
    </row>
    <row r="302" spans="1:11" x14ac:dyDescent="0.2">
      <c r="B302" t="s">
        <v>361</v>
      </c>
      <c r="C302" t="s">
        <v>362</v>
      </c>
      <c r="D302" t="s">
        <v>31</v>
      </c>
      <c r="E302" s="1"/>
      <c r="F302" s="1" t="str">
        <f>_xlfn.XLOOKUP(TableFA21323[[#This Row],[Project]],Projects[Project],Projects[Full Name],"")</f>
        <v>Daniel Gonzalez</v>
      </c>
      <c r="G302" s="1" t="str">
        <f>_xlfn.XLOOKUP(TableFA21323[[#This Row],[Project]],Projects[Project],Projects[Work Email (no gmail/hotmail/etc.)],"")</f>
        <v>dgonz692@fiu.edu</v>
      </c>
      <c r="H302" s="1" t="str">
        <f>_xlfn.XLOOKUP(TableFA21323[[#This Row],[Project]],Projects[Project],Projects[Affiliation (Company/University/Place of Work)],"")</f>
        <v>Florida International University</v>
      </c>
      <c r="I302" s="10">
        <f>COUNTIFS(TableFA21323[Project],TableFA21323[[#This Row],[Project]],TableFA21323[Program],TableFA21323[[#This Row],[Program]])</f>
        <v>0</v>
      </c>
      <c r="J302" s="10">
        <f>COUNTIFS(TableFA21323[Project],TableFA21323[[#This Row],[Project]])</f>
        <v>0</v>
      </c>
      <c r="K302" s="1"/>
    </row>
  </sheetData>
  <protectedRanges>
    <protectedRange sqref="D288:D295 C296:C301 E1:H1" name="Range1"/>
    <protectedRange sqref="E302 E291:E300 I2:J302" name="Range2"/>
  </protectedRanges>
  <mergeCells count="53">
    <mergeCell ref="A278:A282"/>
    <mergeCell ref="A273:A276"/>
    <mergeCell ref="A296:A298"/>
    <mergeCell ref="A290:A294"/>
    <mergeCell ref="A284:A288"/>
    <mergeCell ref="A241:A243"/>
    <mergeCell ref="A268:A271"/>
    <mergeCell ref="A262:A266"/>
    <mergeCell ref="A257:A260"/>
    <mergeCell ref="A251:A255"/>
    <mergeCell ref="A245:A249"/>
    <mergeCell ref="A236:A239"/>
    <mergeCell ref="A173:A176"/>
    <mergeCell ref="A178:A180"/>
    <mergeCell ref="A182:A186"/>
    <mergeCell ref="A188:A192"/>
    <mergeCell ref="A194:A198"/>
    <mergeCell ref="A200:A204"/>
    <mergeCell ref="A206:A210"/>
    <mergeCell ref="A212:A216"/>
    <mergeCell ref="A218:A222"/>
    <mergeCell ref="A224:A228"/>
    <mergeCell ref="A230:A234"/>
    <mergeCell ref="A169:A171"/>
    <mergeCell ref="A108:A112"/>
    <mergeCell ref="A114:A118"/>
    <mergeCell ref="A120:A122"/>
    <mergeCell ref="A124:A128"/>
    <mergeCell ref="A130:A134"/>
    <mergeCell ref="A136:A140"/>
    <mergeCell ref="A142:A146"/>
    <mergeCell ref="A148:A151"/>
    <mergeCell ref="A153:A157"/>
    <mergeCell ref="A159:A162"/>
    <mergeCell ref="A164:A167"/>
    <mergeCell ref="A102:A106"/>
    <mergeCell ref="A37:A41"/>
    <mergeCell ref="A43:A47"/>
    <mergeCell ref="A49:A53"/>
    <mergeCell ref="A55:A59"/>
    <mergeCell ref="A61:A66"/>
    <mergeCell ref="A68:A72"/>
    <mergeCell ref="A74:A77"/>
    <mergeCell ref="A79:A82"/>
    <mergeCell ref="A84:A88"/>
    <mergeCell ref="A90:A94"/>
    <mergeCell ref="A96:A100"/>
    <mergeCell ref="A32:A35"/>
    <mergeCell ref="A2:A6"/>
    <mergeCell ref="A8:A12"/>
    <mergeCell ref="A14:A18"/>
    <mergeCell ref="A20:A24"/>
    <mergeCell ref="A26:A30"/>
  </mergeCells>
  <conditionalFormatting sqref="I2:J302">
    <cfRule type="cellIs" dxfId="6" priority="49" operator="greaterThan">
      <formula>5</formula>
    </cfRule>
    <cfRule type="cellIs" dxfId="5" priority="50" operator="between">
      <formula>1</formula>
      <formula>2</formula>
    </cfRule>
    <cfRule type="cellIs" dxfId="4" priority="51" operator="between">
      <formula>3</formula>
      <formula>5</formula>
    </cfRule>
  </conditionalFormatting>
  <conditionalFormatting sqref="J288:J295 I296:J301">
    <cfRule type="containsText" dxfId="3" priority="52" operator="containsText" text="Highly Active">
      <formula>NOT(ISERROR(SEARCH("Highly Active",I288)))</formula>
    </cfRule>
    <cfRule type="containsText" dxfId="2" priority="53" operator="containsText" text="Missing In Action">
      <formula>NOT(ISERROR(SEARCH("Missing In Action",I288)))</formula>
    </cfRule>
    <cfRule type="containsText" dxfId="1" priority="54" operator="containsText" text="Mostly Inactive">
      <formula>NOT(ISERROR(SEARCH("Mostly Inactive",I288)))</formula>
    </cfRule>
    <cfRule type="containsText" dxfId="0" priority="55" operator="containsText" text="Somewhat Active">
      <formula>NOT(ISERROR(SEARCH("Somewhat Active",I288)))</formula>
    </cfRule>
  </conditionalFormatting>
  <dataValidations count="1">
    <dataValidation allowBlank="1" showInputMessage="1" showErrorMessage="1" sqref="E173 E116" xr:uid="{5E4FEB17-1054-44B2-A391-53754CBF2B9C}"/>
  </dataValidations>
  <hyperlinks>
    <hyperlink ref="B96" r:id="rId1" xr:uid="{DC8538DB-939C-4488-8587-7D3819250FAF}"/>
    <hyperlink ref="B97" r:id="rId2" xr:uid="{FCA5F6C0-04AB-4909-BB56-F04172D4D67A}"/>
    <hyperlink ref="B98" r:id="rId3" xr:uid="{AB81A99E-648A-4517-8056-6CF513143EE0}"/>
    <hyperlink ref="B148" r:id="rId4" xr:uid="{9EA702EC-6BA2-474D-A970-AC85FF5D77C3}"/>
    <hyperlink ref="G252" r:id="rId5" xr:uid="{4675BA1D-B26B-4B14-8821-3EAEA4C6F0AF}"/>
    <hyperlink ref="B35" r:id="rId6" xr:uid="{31F82513-4337-42C8-AC40-99EA29927724}"/>
    <hyperlink ref="B99" r:id="rId7" display="mailto:zsadi002@fiu.edu" xr:uid="{A039AA8E-5071-484A-9620-2CE9E578689E}"/>
    <hyperlink ref="B122" r:id="rId8" xr:uid="{6814AFA8-570D-4DF1-89EA-45B7A4020610}"/>
    <hyperlink ref="B179" r:id="rId9" xr:uid="{42E4B385-759B-4F07-BEA9-B4C08FABC707}"/>
    <hyperlink ref="B167" r:id="rId10" xr:uid="{27857ECB-5D4C-4D1A-B305-E5DC958D62C7}"/>
    <hyperlink ref="B91" r:id="rId11" xr:uid="{EAA0BD56-4E7D-43A9-906B-FF207A9F7809}"/>
    <hyperlink ref="B115" r:id="rId12" xr:uid="{504E2BA0-6930-42F3-9C37-6C858BB7FCB1}"/>
    <hyperlink ref="B114" r:id="rId13" xr:uid="{79EEEAA3-9914-424B-A51C-6A12946F823D}"/>
    <hyperlink ref="B254" r:id="rId14" xr:uid="{BE56C7F3-C820-45E1-B46F-C4191E567C1D}"/>
    <hyperlink ref="B252" r:id="rId15" xr:uid="{13285DFB-966C-486A-9CC8-B8BC02792491}"/>
    <hyperlink ref="B251" r:id="rId16" xr:uid="{73E46648-ABFB-4581-94EC-7036AE154F57}"/>
    <hyperlink ref="B253" r:id="rId17" xr:uid="{047D43FF-A928-4FBA-91EC-8235363F5B9F}"/>
    <hyperlink ref="B15" r:id="rId18" xr:uid="{B3798123-AC3C-4B0F-A34A-21DF63A45705}"/>
    <hyperlink ref="B159" r:id="rId19" xr:uid="{DF2369AE-4152-4536-A3A5-D6FDA94AB6E5}"/>
    <hyperlink ref="B17" r:id="rId20" xr:uid="{73B6AFD5-6C0B-4352-A4C7-3318ACE51558}"/>
    <hyperlink ref="B184" r:id="rId21" xr:uid="{414F266F-156B-4E93-8415-0B979BDED3A0}"/>
  </hyperlinks>
  <pageMargins left="0.7" right="0.7" top="0.75" bottom="0.75" header="0.3" footer="0.3"/>
  <tableParts count="1">
    <tablePart r:id="rId22"/>
  </tableParts>
  <extLst>
    <ext xmlns:x14="http://schemas.microsoft.com/office/spreadsheetml/2009/9/main" uri="{CCE6A557-97BC-4b89-ADB6-D9C93CAAB3DF}">
      <x14:dataValidations xmlns:xm="http://schemas.microsoft.com/office/excel/2006/main" count="1">
        <x14:dataValidation type="list" allowBlank="1" showInputMessage="1" showErrorMessage="1" xr:uid="{655C60E6-D910-4606-8F4E-7B52CCAA6B91}">
          <x14:formula1>
            <xm:f>Projects!$A$2:$A$76</xm:f>
          </x14:formula1>
          <xm:sqref>E117:E172 E174:E302 E2:E115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Teams</vt:lpstr>
      <vt:lpstr>Projects</vt:lpstr>
      <vt:lpstr>Prints</vt:lpstr>
    </vt:vector>
  </TitlesOfParts>
  <Manager/>
  <Company>FIU</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gonzaama</dc:creator>
  <cp:keywords/>
  <dc:description/>
  <cp:lastModifiedBy>Masoud Sadjadi</cp:lastModifiedBy>
  <cp:revision/>
  <dcterms:created xsi:type="dcterms:W3CDTF">2019-09-27T18:02:20Z</dcterms:created>
  <dcterms:modified xsi:type="dcterms:W3CDTF">2025-12-18T01:43:15Z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55b6ed3-49d9-4c8b-b721-6e88a1f26c44_Enabled">
    <vt:lpwstr>true</vt:lpwstr>
  </property>
  <property fmtid="{D5CDD505-2E9C-101B-9397-08002B2CF9AE}" pid="3" name="MSIP_Label_055b6ed3-49d9-4c8b-b721-6e88a1f26c44_SetDate">
    <vt:lpwstr>2025-08-28T17:54:58Z</vt:lpwstr>
  </property>
  <property fmtid="{D5CDD505-2E9C-101B-9397-08002B2CF9AE}" pid="4" name="MSIP_Label_055b6ed3-49d9-4c8b-b721-6e88a1f26c44_Method">
    <vt:lpwstr>Standard</vt:lpwstr>
  </property>
  <property fmtid="{D5CDD505-2E9C-101B-9397-08002B2CF9AE}" pid="5" name="MSIP_Label_055b6ed3-49d9-4c8b-b721-6e88a1f26c44_Name">
    <vt:lpwstr>Internal or Private Data</vt:lpwstr>
  </property>
  <property fmtid="{D5CDD505-2E9C-101B-9397-08002B2CF9AE}" pid="6" name="MSIP_Label_055b6ed3-49d9-4c8b-b721-6e88a1f26c44_SiteId">
    <vt:lpwstr>ac79e5a8-e0e4-434b-a292-2c89b5c28366</vt:lpwstr>
  </property>
  <property fmtid="{D5CDD505-2E9C-101B-9397-08002B2CF9AE}" pid="7" name="MSIP_Label_055b6ed3-49d9-4c8b-b721-6e88a1f26c44_ActionId">
    <vt:lpwstr>0eece3c8-fdd9-44a5-be60-854d63c2d51c</vt:lpwstr>
  </property>
  <property fmtid="{D5CDD505-2E9C-101B-9397-08002B2CF9AE}" pid="8" name="MSIP_Label_055b6ed3-49d9-4c8b-b721-6e88a1f26c44_ContentBits">
    <vt:lpwstr>2</vt:lpwstr>
  </property>
  <property fmtid="{D5CDD505-2E9C-101B-9397-08002B2CF9AE}" pid="9" name="MSIP_Label_055b6ed3-49d9-4c8b-b721-6e88a1f26c44_Tag">
    <vt:lpwstr>10, 3, 0, 2</vt:lpwstr>
  </property>
</Properties>
</file>