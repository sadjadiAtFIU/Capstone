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9"/>
  <workbookPr updateLinks="always" codeName="ThisWorkbook"/>
  <mc:AlternateContent xmlns:mc="http://schemas.openxmlformats.org/markup-compatibility/2006">
    <mc:Choice Requires="x15">
      <x15ac:absPath xmlns:x15ac="http://schemas.microsoft.com/office/spreadsheetml/2010/11/ac" url="https://fiudit-my.sharepoint.com/personal/sadjadi_fiu_edu/Documents/Senior Project/253-Fall 2025/"/>
    </mc:Choice>
  </mc:AlternateContent>
  <xr:revisionPtr revIDLastSave="3250" documentId="120_S{9AFA1611-38B3-59DE-8019-7755518F9912}" xr6:coauthVersionLast="47" xr6:coauthVersionMax="47" xr10:uidLastSave="{F0F45151-0CE8-E44E-B423-123E62F5AF1B}"/>
  <bookViews>
    <workbookView xWindow="0" yWindow="0" windowWidth="38280" windowHeight="43200" xr2:uid="{00000000-000D-0000-FFFF-FFFF00000000}"/>
  </bookViews>
  <sheets>
    <sheet name="Teams" sheetId="60" r:id="rId1"/>
    <sheet name="Projects" sheetId="58" r:id="rId2"/>
  </sheets>
  <definedNames>
    <definedName name="_xlnm._FilterDatabase" localSheetId="0" hidden="1">Teams!$A$116:$G$243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8" l="1"/>
  <c r="G3" i="60"/>
  <c r="H3" i="60"/>
  <c r="G4" i="60"/>
  <c r="H4" i="60"/>
  <c r="G5" i="60"/>
  <c r="H5" i="60"/>
  <c r="G6" i="60"/>
  <c r="H6" i="60"/>
  <c r="G7" i="60"/>
  <c r="H7" i="60"/>
  <c r="G8" i="60"/>
  <c r="H8" i="60"/>
  <c r="G9" i="60"/>
  <c r="H9" i="60"/>
  <c r="G10" i="60"/>
  <c r="H10" i="60"/>
  <c r="G11" i="60"/>
  <c r="H11" i="60"/>
  <c r="G12" i="60"/>
  <c r="H12" i="60"/>
  <c r="G13" i="60"/>
  <c r="H13" i="60"/>
  <c r="G14" i="60"/>
  <c r="H14" i="60"/>
  <c r="G15" i="60"/>
  <c r="H15" i="60"/>
  <c r="G16" i="60"/>
  <c r="H16" i="60"/>
  <c r="G17" i="60"/>
  <c r="H17" i="60"/>
  <c r="G18" i="60"/>
  <c r="H18" i="60"/>
  <c r="G19" i="60"/>
  <c r="H19" i="60"/>
  <c r="G20" i="60"/>
  <c r="H20" i="60"/>
  <c r="G21" i="60"/>
  <c r="H21" i="60"/>
  <c r="G22" i="60"/>
  <c r="H22" i="60"/>
  <c r="G23" i="60"/>
  <c r="H23" i="60"/>
  <c r="G24" i="60"/>
  <c r="H24" i="60"/>
  <c r="G25" i="60"/>
  <c r="H25" i="60"/>
  <c r="G26" i="60"/>
  <c r="H26" i="60"/>
  <c r="G27" i="60"/>
  <c r="H27" i="60"/>
  <c r="G28" i="60"/>
  <c r="H28" i="60"/>
  <c r="G29" i="60"/>
  <c r="H29" i="60"/>
  <c r="G30" i="60"/>
  <c r="H30" i="60"/>
  <c r="G31" i="60"/>
  <c r="H31" i="60"/>
  <c r="G32" i="60"/>
  <c r="H32" i="60"/>
  <c r="G33" i="60"/>
  <c r="H33" i="60"/>
  <c r="G34" i="60"/>
  <c r="H34" i="60"/>
  <c r="G35" i="60"/>
  <c r="H35" i="60"/>
  <c r="G36" i="60"/>
  <c r="H36" i="60"/>
  <c r="G37" i="60"/>
  <c r="H37" i="60"/>
  <c r="G38" i="60"/>
  <c r="H38" i="60"/>
  <c r="G39" i="60"/>
  <c r="H39" i="60"/>
  <c r="G40" i="60"/>
  <c r="H40" i="60"/>
  <c r="G41" i="60"/>
  <c r="H41" i="60"/>
  <c r="G42" i="60"/>
  <c r="H42" i="60"/>
  <c r="G43" i="60"/>
  <c r="H43" i="60"/>
  <c r="G44" i="60"/>
  <c r="H44" i="60"/>
  <c r="G45" i="60"/>
  <c r="H45" i="60"/>
  <c r="G46" i="60"/>
  <c r="H46" i="60"/>
  <c r="G47" i="60"/>
  <c r="H47" i="60"/>
  <c r="G48" i="60"/>
  <c r="H48" i="60"/>
  <c r="G49" i="60"/>
  <c r="H49" i="60"/>
  <c r="G50" i="60"/>
  <c r="H50" i="60"/>
  <c r="G51" i="60"/>
  <c r="H51" i="60"/>
  <c r="G52" i="60"/>
  <c r="H52" i="60"/>
  <c r="G53" i="60"/>
  <c r="H53" i="60"/>
  <c r="G54" i="60"/>
  <c r="H54" i="60"/>
  <c r="G55" i="60"/>
  <c r="H55" i="60"/>
  <c r="G56" i="60"/>
  <c r="H56" i="60"/>
  <c r="G57" i="60"/>
  <c r="H57" i="60"/>
  <c r="G58" i="60"/>
  <c r="H58" i="60"/>
  <c r="G59" i="60"/>
  <c r="H59" i="60"/>
  <c r="G60" i="60"/>
  <c r="H60" i="60"/>
  <c r="G61" i="60"/>
  <c r="H61" i="60"/>
  <c r="G62" i="60"/>
  <c r="H62" i="60"/>
  <c r="G63" i="60"/>
  <c r="H63" i="60"/>
  <c r="G64" i="60"/>
  <c r="H64" i="60"/>
  <c r="G65" i="60"/>
  <c r="H65" i="60"/>
  <c r="G66" i="60"/>
  <c r="H66" i="60"/>
  <c r="G67" i="60"/>
  <c r="H67" i="60"/>
  <c r="G68" i="60"/>
  <c r="H68" i="60"/>
  <c r="G69" i="60"/>
  <c r="H69" i="60"/>
  <c r="G70" i="60"/>
  <c r="H70" i="60"/>
  <c r="G71" i="60"/>
  <c r="H71" i="60"/>
  <c r="G72" i="60"/>
  <c r="H72" i="60"/>
  <c r="G73" i="60"/>
  <c r="H73" i="60"/>
  <c r="G74" i="60"/>
  <c r="H74" i="60"/>
  <c r="G75" i="60"/>
  <c r="H75" i="60"/>
  <c r="G76" i="60"/>
  <c r="H76" i="60"/>
  <c r="G77" i="60"/>
  <c r="H77" i="60"/>
  <c r="G78" i="60"/>
  <c r="H78" i="60"/>
  <c r="G79" i="60"/>
  <c r="H79" i="60"/>
  <c r="G80" i="60"/>
  <c r="H80" i="60"/>
  <c r="G81" i="60"/>
  <c r="H81" i="60"/>
  <c r="G82" i="60"/>
  <c r="H82" i="60"/>
  <c r="G83" i="60"/>
  <c r="H83" i="60"/>
  <c r="G84" i="60"/>
  <c r="H84" i="60"/>
  <c r="G85" i="60"/>
  <c r="H85" i="60"/>
  <c r="G86" i="60"/>
  <c r="H86" i="60"/>
  <c r="G87" i="60"/>
  <c r="H87" i="60"/>
  <c r="G88" i="60"/>
  <c r="H88" i="60"/>
  <c r="G89" i="60"/>
  <c r="H89" i="60"/>
  <c r="G90" i="60"/>
  <c r="H90" i="60"/>
  <c r="G91" i="60"/>
  <c r="H91" i="60"/>
  <c r="G92" i="60"/>
  <c r="H92" i="60"/>
  <c r="G93" i="60"/>
  <c r="H93" i="60"/>
  <c r="G94" i="60"/>
  <c r="H94" i="60"/>
  <c r="G95" i="60"/>
  <c r="H95" i="60"/>
  <c r="G96" i="60"/>
  <c r="H96" i="60"/>
  <c r="G97" i="60"/>
  <c r="H97" i="60"/>
  <c r="G98" i="60"/>
  <c r="H98" i="60"/>
  <c r="G99" i="60"/>
  <c r="H99" i="60"/>
  <c r="G100" i="60"/>
  <c r="H100" i="60"/>
  <c r="G101" i="60"/>
  <c r="H101" i="60"/>
  <c r="G102" i="60"/>
  <c r="H102" i="60"/>
  <c r="G103" i="60"/>
  <c r="H103" i="60"/>
  <c r="G104" i="60"/>
  <c r="H104" i="60"/>
  <c r="G105" i="60"/>
  <c r="H105" i="60"/>
  <c r="G106" i="60"/>
  <c r="H106" i="60"/>
  <c r="G107" i="60"/>
  <c r="H107" i="60"/>
  <c r="G108" i="60"/>
  <c r="H108" i="60"/>
  <c r="G109" i="60"/>
  <c r="H109" i="60"/>
  <c r="G110" i="60"/>
  <c r="H110" i="60"/>
  <c r="G111" i="60"/>
  <c r="H111" i="60"/>
  <c r="G112" i="60"/>
  <c r="H112" i="60"/>
  <c r="G113" i="60"/>
  <c r="H113" i="60"/>
  <c r="G114" i="60"/>
  <c r="H114" i="60"/>
  <c r="G115" i="60"/>
  <c r="H115" i="60"/>
  <c r="G116" i="60"/>
  <c r="H116" i="60"/>
  <c r="G117" i="60"/>
  <c r="H117" i="60"/>
  <c r="G118" i="60"/>
  <c r="H118" i="60"/>
  <c r="G119" i="60"/>
  <c r="H119" i="60"/>
  <c r="G120" i="60"/>
  <c r="H120" i="60"/>
  <c r="G121" i="60"/>
  <c r="H121" i="60"/>
  <c r="G122" i="60"/>
  <c r="H122" i="60"/>
  <c r="G123" i="60"/>
  <c r="H123" i="60"/>
  <c r="G124" i="60"/>
  <c r="H124" i="60"/>
  <c r="G125" i="60"/>
  <c r="H125" i="60"/>
  <c r="G126" i="60"/>
  <c r="H126" i="60"/>
  <c r="G127" i="60"/>
  <c r="H127" i="60"/>
  <c r="G128" i="60"/>
  <c r="H128" i="60"/>
  <c r="G129" i="60"/>
  <c r="H129" i="60"/>
  <c r="G130" i="60"/>
  <c r="H130" i="60"/>
  <c r="G131" i="60"/>
  <c r="H131" i="60"/>
  <c r="G132" i="60"/>
  <c r="H132" i="60"/>
  <c r="G133" i="60"/>
  <c r="H133" i="60"/>
  <c r="G134" i="60"/>
  <c r="H134" i="60"/>
  <c r="G135" i="60"/>
  <c r="H135" i="60"/>
  <c r="G136" i="60"/>
  <c r="H136" i="60"/>
  <c r="G137" i="60"/>
  <c r="H137" i="60"/>
  <c r="G138" i="60"/>
  <c r="H138" i="60"/>
  <c r="G139" i="60"/>
  <c r="H139" i="60"/>
  <c r="G140" i="60"/>
  <c r="H140" i="60"/>
  <c r="G141" i="60"/>
  <c r="H141" i="60"/>
  <c r="G142" i="60"/>
  <c r="H142" i="60"/>
  <c r="G143" i="60"/>
  <c r="H143" i="60"/>
  <c r="G144" i="60"/>
  <c r="H144" i="60"/>
  <c r="G145" i="60"/>
  <c r="H145" i="60"/>
  <c r="G146" i="60"/>
  <c r="H146" i="60"/>
  <c r="G147" i="60"/>
  <c r="H147" i="60"/>
  <c r="G148" i="60"/>
  <c r="H148" i="60"/>
  <c r="G149" i="60"/>
  <c r="H149" i="60"/>
  <c r="G150" i="60"/>
  <c r="H150" i="60"/>
  <c r="G151" i="60"/>
  <c r="H151" i="60"/>
  <c r="G152" i="60"/>
  <c r="H152" i="60"/>
  <c r="G153" i="60"/>
  <c r="H153" i="60"/>
  <c r="G154" i="60"/>
  <c r="H154" i="60"/>
  <c r="G155" i="60"/>
  <c r="H155" i="60"/>
  <c r="G156" i="60"/>
  <c r="H156" i="60"/>
  <c r="G157" i="60"/>
  <c r="H157" i="60"/>
  <c r="G158" i="60"/>
  <c r="H158" i="60"/>
  <c r="G159" i="60"/>
  <c r="H159" i="60"/>
  <c r="G160" i="60"/>
  <c r="H160" i="60"/>
  <c r="G161" i="60"/>
  <c r="H161" i="60"/>
  <c r="G162" i="60"/>
  <c r="H162" i="60"/>
  <c r="G163" i="60"/>
  <c r="H163" i="60"/>
  <c r="G164" i="60"/>
  <c r="H164" i="60"/>
  <c r="G165" i="60"/>
  <c r="H165" i="60"/>
  <c r="G166" i="60"/>
  <c r="H166" i="60"/>
  <c r="G167" i="60"/>
  <c r="H167" i="60"/>
  <c r="G168" i="60"/>
  <c r="H168" i="60"/>
  <c r="G169" i="60"/>
  <c r="H169" i="60"/>
  <c r="G170" i="60"/>
  <c r="H170" i="60"/>
  <c r="G171" i="60"/>
  <c r="H171" i="60"/>
  <c r="G172" i="60"/>
  <c r="H172" i="60"/>
  <c r="G173" i="60"/>
  <c r="H173" i="60"/>
  <c r="G174" i="60"/>
  <c r="H174" i="60"/>
  <c r="G175" i="60"/>
  <c r="H175" i="60"/>
  <c r="G176" i="60"/>
  <c r="H176" i="60"/>
  <c r="G177" i="60"/>
  <c r="H177" i="60"/>
  <c r="G178" i="60"/>
  <c r="H178" i="60"/>
  <c r="G179" i="60"/>
  <c r="H179" i="60"/>
  <c r="G180" i="60"/>
  <c r="H180" i="60"/>
  <c r="G181" i="60"/>
  <c r="H181" i="60"/>
  <c r="G182" i="60"/>
  <c r="H182" i="60"/>
  <c r="G183" i="60"/>
  <c r="H183" i="60"/>
  <c r="G184" i="60"/>
  <c r="H184" i="60"/>
  <c r="G185" i="60"/>
  <c r="H185" i="60"/>
  <c r="G186" i="60"/>
  <c r="H186" i="60"/>
  <c r="G187" i="60"/>
  <c r="H187" i="60"/>
  <c r="G188" i="60"/>
  <c r="H188" i="60"/>
  <c r="G189" i="60"/>
  <c r="H189" i="60"/>
  <c r="G190" i="60"/>
  <c r="H190" i="60"/>
  <c r="G191" i="60"/>
  <c r="H191" i="60"/>
  <c r="G192" i="60"/>
  <c r="H192" i="60"/>
  <c r="G193" i="60"/>
  <c r="H193" i="60"/>
  <c r="G194" i="60"/>
  <c r="H194" i="60"/>
  <c r="G195" i="60"/>
  <c r="H195" i="60"/>
  <c r="G196" i="60"/>
  <c r="H196" i="60"/>
  <c r="G197" i="60"/>
  <c r="H197" i="60"/>
  <c r="G198" i="60"/>
  <c r="H198" i="60"/>
  <c r="G199" i="60"/>
  <c r="H199" i="60"/>
  <c r="G200" i="60"/>
  <c r="H200" i="60"/>
  <c r="G201" i="60"/>
  <c r="H201" i="60"/>
  <c r="G202" i="60"/>
  <c r="H202" i="60"/>
  <c r="G203" i="60"/>
  <c r="H203" i="60"/>
  <c r="G204" i="60"/>
  <c r="H204" i="60"/>
  <c r="G205" i="60"/>
  <c r="H205" i="60"/>
  <c r="G206" i="60"/>
  <c r="H206" i="60"/>
  <c r="G207" i="60"/>
  <c r="H207" i="60"/>
  <c r="G208" i="60"/>
  <c r="H208" i="60"/>
  <c r="G209" i="60"/>
  <c r="H209" i="60"/>
  <c r="G210" i="60"/>
  <c r="H210" i="60"/>
  <c r="G211" i="60"/>
  <c r="H211" i="60"/>
  <c r="G212" i="60"/>
  <c r="H212" i="60"/>
  <c r="G213" i="60"/>
  <c r="H213" i="60"/>
  <c r="G214" i="60"/>
  <c r="H214" i="60"/>
  <c r="G215" i="60"/>
  <c r="H215" i="60"/>
  <c r="G216" i="60"/>
  <c r="H216" i="60"/>
  <c r="G217" i="60"/>
  <c r="H217" i="60"/>
  <c r="G218" i="60"/>
  <c r="H218" i="60"/>
  <c r="G219" i="60"/>
  <c r="H219" i="60"/>
  <c r="G220" i="60"/>
  <c r="H220" i="60"/>
  <c r="G221" i="60"/>
  <c r="H221" i="60"/>
  <c r="G222" i="60"/>
  <c r="H222" i="60"/>
  <c r="G223" i="60"/>
  <c r="H223" i="60"/>
  <c r="G224" i="60"/>
  <c r="H224" i="60"/>
  <c r="G225" i="60"/>
  <c r="H225" i="60"/>
  <c r="G226" i="60"/>
  <c r="H226" i="60"/>
  <c r="G227" i="60"/>
  <c r="H227" i="60"/>
  <c r="G228" i="60"/>
  <c r="H228" i="60"/>
  <c r="G229" i="60"/>
  <c r="H229" i="60"/>
  <c r="G230" i="60"/>
  <c r="H230" i="60"/>
  <c r="G231" i="60"/>
  <c r="H231" i="60"/>
  <c r="G232" i="60"/>
  <c r="H232" i="60"/>
  <c r="G233" i="60"/>
  <c r="H233" i="60"/>
  <c r="G234" i="60"/>
  <c r="H234" i="60"/>
  <c r="G235" i="60"/>
  <c r="H235" i="60"/>
  <c r="G236" i="60"/>
  <c r="H236" i="60"/>
  <c r="G237" i="60"/>
  <c r="H237" i="60"/>
  <c r="G238" i="60"/>
  <c r="H238" i="60"/>
  <c r="G239" i="60"/>
  <c r="H239" i="60"/>
  <c r="G240" i="60"/>
  <c r="H240" i="60"/>
  <c r="G241" i="60"/>
  <c r="H241" i="60"/>
  <c r="G242" i="60"/>
  <c r="H242" i="60"/>
  <c r="G243" i="60"/>
  <c r="H243" i="60"/>
  <c r="G244" i="60"/>
  <c r="H244" i="60"/>
  <c r="G245" i="60"/>
  <c r="H245" i="60"/>
  <c r="G246" i="60"/>
  <c r="H246" i="60"/>
  <c r="G247" i="60"/>
  <c r="H247" i="60"/>
  <c r="G248" i="60"/>
  <c r="H248" i="60"/>
  <c r="G249" i="60"/>
  <c r="H249" i="60"/>
  <c r="G250" i="60"/>
  <c r="H250" i="60"/>
  <c r="A3" i="58"/>
  <c r="A4" i="58"/>
  <c r="A6" i="58"/>
  <c r="A7" i="58"/>
  <c r="A8" i="58"/>
  <c r="A9" i="58"/>
  <c r="A10" i="58"/>
  <c r="A12" i="58"/>
  <c r="A14" i="58"/>
  <c r="A15" i="58"/>
  <c r="A16" i="58"/>
  <c r="A17" i="58"/>
  <c r="A18" i="58"/>
  <c r="A19" i="58"/>
  <c r="A20" i="58"/>
  <c r="A11" i="58"/>
  <c r="A21" i="58"/>
  <c r="A22" i="58"/>
  <c r="A23" i="58"/>
  <c r="A24" i="58"/>
  <c r="A25" i="58"/>
  <c r="A26" i="58"/>
  <c r="A27" i="58"/>
  <c r="A28" i="58"/>
  <c r="A29" i="58"/>
  <c r="A30" i="58"/>
  <c r="A31" i="58"/>
  <c r="A32" i="58"/>
  <c r="A33" i="58"/>
  <c r="A13" i="58"/>
  <c r="A34" i="58"/>
  <c r="A35" i="58"/>
  <c r="A36" i="58"/>
  <c r="A37" i="58"/>
  <c r="A38" i="58"/>
  <c r="A39" i="58"/>
  <c r="A40" i="58"/>
  <c r="A41" i="58"/>
  <c r="A42" i="58"/>
  <c r="A43" i="58"/>
  <c r="A44" i="58"/>
  <c r="A45" i="58"/>
  <c r="A47" i="58"/>
  <c r="A48" i="58"/>
  <c r="A49" i="58"/>
  <c r="A50" i="58"/>
  <c r="A51" i="58"/>
  <c r="A52" i="58"/>
  <c r="A53" i="58"/>
  <c r="A54" i="58"/>
  <c r="A55" i="58"/>
  <c r="A56" i="58"/>
  <c r="G2" i="60"/>
  <c r="H2" i="60"/>
  <c r="A2" i="5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Greta Herrera</author>
    <author>Pedro Re</author>
  </authors>
  <commentList>
    <comment ref="K28" authorId="0" shapeId="0" xr:uid="{AA02EF1E-CD04-4188-9B39-AEA347AD7FB4}">
      <text>
        <r>
          <rPr>
            <sz val="11"/>
            <color rgb="FF000000"/>
            <rFont val="Calibri"/>
            <family val="2"/>
          </rPr>
          <t xml:space="preserve">Greta Herrera:
</t>
        </r>
        <r>
          <rPr>
            <sz val="11"/>
            <color rgb="FF000000"/>
            <rFont val="Calibri"/>
            <family val="2"/>
          </rPr>
          <t>Brian is sick with COVID and couldn't participate in all meetings</t>
        </r>
      </text>
    </comment>
    <comment ref="L28" authorId="0" shapeId="0" xr:uid="{08B01C26-D5B1-4C09-ABCA-936AEAF21EB4}">
      <text>
        <r>
          <rPr>
            <sz val="11"/>
            <color rgb="FF000000"/>
            <rFont val="Calibri"/>
            <family val="2"/>
          </rPr>
          <t xml:space="preserve">Greta Herrera:
</t>
        </r>
        <r>
          <rPr>
            <sz val="11"/>
            <color rgb="FF000000"/>
            <rFont val="Calibri"/>
            <family val="2"/>
          </rPr>
          <t>Brian was sick but he is already back working with the team and participating in the meetings.</t>
        </r>
      </text>
    </comment>
    <comment ref="N64" authorId="1" shapeId="0" xr:uid="{F73198FA-1198-4851-A29C-0186D3F8871B}">
      <text>
        <r>
          <rPr>
            <sz val="11"/>
            <color theme="1"/>
            <rFont val="Calibri"/>
            <family val="2"/>
            <scheme val="minor"/>
          </rPr>
          <t>Pedro Re:
Missed one day due to lack of internet. Active the rest of the week.</t>
        </r>
      </text>
    </comment>
    <comment ref="O65" authorId="1" shapeId="0" xr:uid="{EBCD66A2-7289-4AC7-AF8E-4D819BF35292}">
      <text>
        <r>
          <rPr>
            <sz val="11"/>
            <color theme="1"/>
            <rFont val="Calibri"/>
            <family val="2"/>
            <scheme val="minor"/>
          </rPr>
          <t>Pedro Re:
Carlos was out of town for a couple days, but he is back now.</t>
        </r>
      </text>
    </comment>
    <comment ref="U65" authorId="1" shapeId="0" xr:uid="{2087CE06-D0EC-44D8-AC2F-2A1A2030F611}">
      <text>
        <r>
          <rPr>
            <sz val="11"/>
            <color theme="1"/>
            <rFont val="Calibri"/>
            <family val="2"/>
            <scheme val="minor"/>
          </rPr>
          <t>Pedro Re:
Carlos was undergoing a medical procedure and was not as active because of this. May bleed into next week.</t>
        </r>
      </text>
    </comment>
  </commentList>
</comments>
</file>

<file path=xl/sharedStrings.xml><?xml version="1.0" encoding="utf-8"?>
<sst xmlns="http://schemas.openxmlformats.org/spreadsheetml/2006/main" count="4706" uniqueCount="754">
  <si>
    <t>Email</t>
  </si>
  <si>
    <t>Name</t>
  </si>
  <si>
    <t>Program</t>
  </si>
  <si>
    <t>Mode</t>
  </si>
  <si>
    <t>Class</t>
  </si>
  <si>
    <t>Project</t>
  </si>
  <si>
    <t>Prog Mem</t>
  </si>
  <si>
    <t>Total</t>
  </si>
  <si>
    <t>Role</t>
  </si>
  <si>
    <t>Project Status</t>
  </si>
  <si>
    <t>Sprint 1 Week 1</t>
  </si>
  <si>
    <t>Sprint 1 Week 2</t>
  </si>
  <si>
    <t>Sprint 2 Week 1</t>
  </si>
  <si>
    <t>Sprint 2 Week 2</t>
  </si>
  <si>
    <t>Sprint 3 Week 1</t>
  </si>
  <si>
    <t>Sprint 3 Week 2</t>
  </si>
  <si>
    <t>Sprint 4 Week 1</t>
  </si>
  <si>
    <t>Sprint 4 Week 2</t>
  </si>
  <si>
    <t>Sprint 5 Week 1</t>
  </si>
  <si>
    <t>Sprint 5 Week 2</t>
  </si>
  <si>
    <t>Sprint 6 Week 1</t>
  </si>
  <si>
    <t>Sprint 6 Week 2</t>
  </si>
  <si>
    <t>Sprint 7 Week 1</t>
  </si>
  <si>
    <t>Sprint 7 Week 2</t>
  </si>
  <si>
    <t>bramo029@fiu.edu</t>
  </si>
  <si>
    <t>Ramos,Benjamin</t>
  </si>
  <si>
    <t>Computer Science</t>
  </si>
  <si>
    <t>In Person</t>
  </si>
  <si>
    <t>Capstone 1</t>
  </si>
  <si>
    <t>Computer Science: CAMP</t>
  </si>
  <si>
    <t>Team Lead</t>
  </si>
  <si>
    <t>Highly Active</t>
  </si>
  <si>
    <t>afern742@fiu.edu</t>
  </si>
  <si>
    <t>Fernandez,Andres</t>
  </si>
  <si>
    <t>sgonz582@fiu.edu</t>
  </si>
  <si>
    <t>Gonzalez,Sebastian</t>
  </si>
  <si>
    <t>fpuer003@fiu.edu</t>
  </si>
  <si>
    <t>Puerta,Frank Ernesto</t>
  </si>
  <si>
    <t>kwils096@fiu.edu</t>
  </si>
  <si>
    <t>Wilson,Kevin Michael</t>
  </si>
  <si>
    <t>fmata011@fiu.edu</t>
  </si>
  <si>
    <t>Mata,Fernando</t>
  </si>
  <si>
    <t>Computer Science: Chronic Kidney Disease Prediction System</t>
  </si>
  <si>
    <t>scast290@fiu.edu</t>
  </si>
  <si>
    <t>Castro,Stefany Maria</t>
  </si>
  <si>
    <t>amoss042@fiu.edu</t>
  </si>
  <si>
    <t>Mossa,Alyaa</t>
  </si>
  <si>
    <t>orakh002@fiu.edu</t>
  </si>
  <si>
    <t>Rakhimov,Ogabek</t>
  </si>
  <si>
    <t>Missing In Action</t>
  </si>
  <si>
    <t>cross071@fiu.edu</t>
  </si>
  <si>
    <t>Ross,Chelsea</t>
  </si>
  <si>
    <t>lcane008@fiu.edu</t>
  </si>
  <si>
    <t xml:space="preserve">Canessa, Luis </t>
  </si>
  <si>
    <t>Online</t>
  </si>
  <si>
    <t>Computer Science: CineMatch</t>
  </si>
  <si>
    <t>afran257@fiu.edu</t>
  </si>
  <si>
    <t>Franquin,Adrian</t>
  </si>
  <si>
    <t>llope424@fiu.edu</t>
  </si>
  <si>
    <t>Lopez,Luis Alberto</t>
  </si>
  <si>
    <t>nmerj001@fiu.edu</t>
  </si>
  <si>
    <t>Merjech,Nicholas</t>
  </si>
  <si>
    <t>cvale104@fiu.edu</t>
  </si>
  <si>
    <t>Valentin,Carmeisha</t>
  </si>
  <si>
    <t>mlezc015@fiu.edu</t>
  </si>
  <si>
    <t>Lezcano,Mathew</t>
  </si>
  <si>
    <t>Computer Science: ClassConnect</t>
  </si>
  <si>
    <t>ramad022@fiu.edu</t>
  </si>
  <si>
    <t>Amador,Ryan Richard</t>
  </si>
  <si>
    <t>mambr019@fiu.edu</t>
  </si>
  <si>
    <t>Ambroise,Matthew Dylan</t>
  </si>
  <si>
    <t>wdelo008@fiu.edu</t>
  </si>
  <si>
    <t>Del Orbe,Wesley</t>
  </si>
  <si>
    <t>dhurs008@fiu.edu</t>
  </si>
  <si>
    <t>Hurst,Deryn Amara Sydney</t>
  </si>
  <si>
    <t>cpaz026@fiu.edu</t>
  </si>
  <si>
    <t>Paz,Christopher</t>
  </si>
  <si>
    <t>Computer Science: devKId</t>
  </si>
  <si>
    <t>aalon168@fiu.edu</t>
  </si>
  <si>
    <t xml:space="preserve">Alonso Franco, Armando </t>
  </si>
  <si>
    <t>tboge002@fiu.edu</t>
  </si>
  <si>
    <t>Bogea Guedes Batista,Thais</t>
  </si>
  <si>
    <t>lhurt016@fiu.edu</t>
  </si>
  <si>
    <t>Hurtado,Lucas</t>
  </si>
  <si>
    <t>spere434@fiu.edu</t>
  </si>
  <si>
    <t>Perez Fematt,Sebastian</t>
  </si>
  <si>
    <t>gherr040@fiu.edu</t>
  </si>
  <si>
    <t>Herrera,Greta</t>
  </si>
  <si>
    <t>Computer Science: FitLabel</t>
  </si>
  <si>
    <t>bcard038@fiu.edu</t>
  </si>
  <si>
    <t>Cardona,Brian A</t>
  </si>
  <si>
    <t>Somewhat Active</t>
  </si>
  <si>
    <t>mcasa089@fiu.edu</t>
  </si>
  <si>
    <t>Casal,Matias Augusto</t>
  </si>
  <si>
    <t>afeli052@fiu.edu</t>
  </si>
  <si>
    <t>Feliciano,Angel</t>
  </si>
  <si>
    <t>sleza005@fiu.edu</t>
  </si>
  <si>
    <t>Lezama,Samantha Auxiliadora</t>
  </si>
  <si>
    <t>rsier033@fiu.edu</t>
  </si>
  <si>
    <t>Sierra,Ronald</t>
  </si>
  <si>
    <t>Computer Science: FlowInsight</t>
  </si>
  <si>
    <t>rauli001@fiu.edu</t>
  </si>
  <si>
    <t>Aulindo,Raiyan Mahfuz</t>
  </si>
  <si>
    <t>jbarr363@fiu.edu</t>
  </si>
  <si>
    <t>Barrett,John Francis</t>
  </si>
  <si>
    <t>vho006@fiu.edu</t>
  </si>
  <si>
    <t>Ho,Van Quang</t>
  </si>
  <si>
    <t>mrous019@fiu.edu</t>
  </si>
  <si>
    <t>Rousseau Ruiz,Mauro</t>
  </si>
  <si>
    <t>mpine095@fiu.edu</t>
  </si>
  <si>
    <t>Pineda Espinoza,Miguel Angel</t>
  </si>
  <si>
    <t>Computer Science: FraudShield</t>
  </si>
  <si>
    <t>mkhar005@fiu.edu</t>
  </si>
  <si>
    <t>Kharutski,Maksim</t>
  </si>
  <si>
    <t>mkumm001@fiu.edu</t>
  </si>
  <si>
    <t>Kummari,Monisha</t>
  </si>
  <si>
    <t>clind053@fiu.edu</t>
  </si>
  <si>
    <t>Lindsay,Chloe Mellissa</t>
  </si>
  <si>
    <t>erodr692@fiu.edu</t>
  </si>
  <si>
    <t>Rodriguez,Enrique</t>
  </si>
  <si>
    <t>sdefe002@fiu.edu</t>
  </si>
  <si>
    <t>Defelice,Santiago Andres, Justin W</t>
  </si>
  <si>
    <t>Computer Science: HMT</t>
  </si>
  <si>
    <t>dadri007@fiu.edu</t>
  </si>
  <si>
    <t>Adriazola,Daniel J</t>
  </si>
  <si>
    <t>lflor103@fiu.edu</t>
  </si>
  <si>
    <t>Flores,Louis Andres</t>
  </si>
  <si>
    <t>jgonz1476@fiu.edu</t>
  </si>
  <si>
    <t>Gonzalez,Jonathan</t>
  </si>
  <si>
    <t>jwiss004@fiu.edu</t>
  </si>
  <si>
    <t>Wissart,Justin Jahiem</t>
  </si>
  <si>
    <t>eakil002@fiu.edu</t>
  </si>
  <si>
    <t>Akilli,Emre</t>
  </si>
  <si>
    <t>Computer Science: Intelligent Home Monitoring System</t>
  </si>
  <si>
    <t>cdiaz375@fiu.edu</t>
  </si>
  <si>
    <t>Diaz,Carlos Manuel</t>
  </si>
  <si>
    <t>jgome508@fiu.edu</t>
  </si>
  <si>
    <t>Gomez Alvarado,Juan Carlos</t>
  </si>
  <si>
    <t>dpala052@fiu.edu</t>
  </si>
  <si>
    <t>Palacio,David Ryan</t>
  </si>
  <si>
    <t>hpere125@fiu.edu</t>
  </si>
  <si>
    <t>Perez Garcia,Henry Xavier</t>
  </si>
  <si>
    <t>achow046@fiu.edu</t>
  </si>
  <si>
    <t>Chowdhury,Areesh</t>
  </si>
  <si>
    <t>Computer Science: KeyLock</t>
  </si>
  <si>
    <t>kcast230@fiu.edu</t>
  </si>
  <si>
    <t>Castilblanco,Katherine Alyssa</t>
  </si>
  <si>
    <t>vvila012@fiu.edu</t>
  </si>
  <si>
    <t>Vilar,Victoria</t>
  </si>
  <si>
    <t>cmend181@fiu.edu</t>
  </si>
  <si>
    <t>Mendez,Christian David</t>
  </si>
  <si>
    <t>Computer Science: LinguaLink</t>
  </si>
  <si>
    <t>pcamo001@fiu.edu</t>
  </si>
  <si>
    <t>Camos,Pedro Alejandro</t>
  </si>
  <si>
    <t>hhori004@fiu.edu</t>
  </si>
  <si>
    <t>Horiuchi,Haruki</t>
  </si>
  <si>
    <t>bpere207@fiu.edu</t>
  </si>
  <si>
    <t>Perez,Bryan Manuel</t>
  </si>
  <si>
    <t>kye002@fiu.edu</t>
  </si>
  <si>
    <t>Ye,Kenneth</t>
  </si>
  <si>
    <t>Computer Science: MarketVision</t>
  </si>
  <si>
    <t>mcarr254@fiu.edu</t>
  </si>
  <si>
    <t>Carrillo Rodriguez,Marcos R</t>
  </si>
  <si>
    <t>acole089@fiu.edu</t>
  </si>
  <si>
    <t>Cole, Ajani</t>
  </si>
  <si>
    <t>dhern451@fiu.edu</t>
  </si>
  <si>
    <t>Hernandez,Daniel Roberto</t>
  </si>
  <si>
    <t>mpahw002@fiu.edu</t>
  </si>
  <si>
    <t>Pahwa,Mridul</t>
  </si>
  <si>
    <t>pre001@fiu.edu</t>
  </si>
  <si>
    <t>Re,Pedro Rafael</t>
  </si>
  <si>
    <t xml:space="preserve">Computer Science: Momentum </t>
  </si>
  <si>
    <t>cguzm071@fiu.edu</t>
  </si>
  <si>
    <t>Guzman,Carlos Manuel</t>
  </si>
  <si>
    <t>nmore079@fiu.edu</t>
  </si>
  <si>
    <t>Moreno,Nicolas J</t>
  </si>
  <si>
    <t>msain116@fiu.edu</t>
  </si>
  <si>
    <t>Saint-Blancard, Michael</t>
  </si>
  <si>
    <t>rsilv108@fiu.edu</t>
  </si>
  <si>
    <t>Silva Tejada,Remberto</t>
  </si>
  <si>
    <t>amart1392@fiu.edu</t>
  </si>
  <si>
    <t>Martinez Duarte,Allison Maria</t>
  </si>
  <si>
    <t>Computer Science: NextPick</t>
  </si>
  <si>
    <t>acard192@fiu.edu</t>
  </si>
  <si>
    <t>Cardoso,Alex Daniel</t>
  </si>
  <si>
    <t>iimra002@fiu.edu</t>
  </si>
  <si>
    <t>Imran,Imran</t>
  </si>
  <si>
    <t>jkurz005@fiu.edu</t>
  </si>
  <si>
    <t>Kurz,Justin D</t>
  </si>
  <si>
    <t>slarr018@fiu.edu</t>
  </si>
  <si>
    <t>Larrucea,Shelby Presley</t>
  </si>
  <si>
    <t>jfran348@fiu.edu</t>
  </si>
  <si>
    <t>Frangi,Joaquin</t>
  </si>
  <si>
    <t>Computer Science: NutriChoice</t>
  </si>
  <si>
    <t>obah002@fiu.edu</t>
  </si>
  <si>
    <t>Bah,Ousman</t>
  </si>
  <si>
    <t>ccisn016@fiu.edu</t>
  </si>
  <si>
    <t>Cisneros,Catalina Maria</t>
  </si>
  <si>
    <t>icorr014@fiu.edu</t>
  </si>
  <si>
    <t>Correa,Isabella Prudente</t>
  </si>
  <si>
    <t>premi002@fiu.edu</t>
  </si>
  <si>
    <t>Remior,Pedro Javier</t>
  </si>
  <si>
    <t>lvara004@fiu.edu</t>
  </si>
  <si>
    <t>Varazi,Luka</t>
  </si>
  <si>
    <t>Computer Science: Panthera</t>
  </si>
  <si>
    <t>ccamp175@fiu.edu</t>
  </si>
  <si>
    <t>Campos Jr,Carlos</t>
  </si>
  <si>
    <t>omati002@fiu.edu</t>
  </si>
  <si>
    <t>Matin,Omer</t>
  </si>
  <si>
    <t>mvega137@fiu.edu</t>
  </si>
  <si>
    <t>Vega Gonzalez,Maria Guadalupe</t>
  </si>
  <si>
    <t>wwill082@fiu.edu</t>
  </si>
  <si>
    <t>Williamson Jr,Wayne</t>
  </si>
  <si>
    <t>ftino001@fiu.edu</t>
  </si>
  <si>
    <t>Computer Science: Play&amp;Watch</t>
  </si>
  <si>
    <t>jdiaz707@fiu.edu</t>
  </si>
  <si>
    <t>Diaz-Zuluaga,Juan P</t>
  </si>
  <si>
    <t>thern081@fiu.edu</t>
  </si>
  <si>
    <t>Hernandez,Timothy Andrew</t>
  </si>
  <si>
    <t>Mostly Inactive</t>
  </si>
  <si>
    <t>bkauf007@fiu.edu</t>
  </si>
  <si>
    <t>Kaufmann,Bruno Joaquin</t>
  </si>
  <si>
    <t>zwu029@fiu.edu</t>
  </si>
  <si>
    <t>Wu,Zerong</t>
  </si>
  <si>
    <t>jberd009@fiu.edu</t>
  </si>
  <si>
    <t>Berdeal,Jacob Michael</t>
  </si>
  <si>
    <t>Computer Science: PriceRelate</t>
  </si>
  <si>
    <t>jfeli100@fiu.edu</t>
  </si>
  <si>
    <t>Felix JR,Jhonny</t>
  </si>
  <si>
    <t>zkohl001@fiu.edu</t>
  </si>
  <si>
    <t>Kohlman,Zack Aydan</t>
  </si>
  <si>
    <t>vten002@fiu.edu</t>
  </si>
  <si>
    <t>Ten,Vyacheslav</t>
  </si>
  <si>
    <t>etorr007@fiu.edu</t>
  </si>
  <si>
    <t>Torrese,Elaine</t>
  </si>
  <si>
    <t>Computer Science: Product Finder</t>
  </si>
  <si>
    <t>efran122@fiu.edu</t>
  </si>
  <si>
    <t>Franco,Elsa Maria</t>
  </si>
  <si>
    <t>ngarc348@fiu.edu</t>
  </si>
  <si>
    <t>Garcia,Nickolas Jafet</t>
  </si>
  <si>
    <t>jjime299@fiu.edu</t>
  </si>
  <si>
    <t>Jimenez O'relly,Jorge Luis</t>
  </si>
  <si>
    <t>amort015@fiu.edu</t>
  </si>
  <si>
    <t>Morton,Adrian Thomas</t>
  </si>
  <si>
    <t>Computer Science: RealState</t>
  </si>
  <si>
    <t>acasa122@fiu.edu</t>
  </si>
  <si>
    <t>Casas Cano,Anthony</t>
  </si>
  <si>
    <t>jchar144@fiu.edu</t>
  </si>
  <si>
    <t>Charles,Jaedon Anthony</t>
  </si>
  <si>
    <t>cstfl006@fiu.edu</t>
  </si>
  <si>
    <t>St Fleur,Carlvensky</t>
  </si>
  <si>
    <t>svela086@fiu.edu</t>
  </si>
  <si>
    <t>Velasquez,Steven Isaac</t>
  </si>
  <si>
    <t>rrodr782@fiu.edu</t>
  </si>
  <si>
    <t>Rodriguez,Richard</t>
  </si>
  <si>
    <t>Computer Science: Rentability</t>
  </si>
  <si>
    <t>gcast247@fiu.edu</t>
  </si>
  <si>
    <t>Castilho,Gabriel Koehler</t>
  </si>
  <si>
    <t>gnogu010@fiu.edu</t>
  </si>
  <si>
    <t>Nogueras,Gabriel Alexis</t>
  </si>
  <si>
    <t>aocho055@fiu.edu</t>
  </si>
  <si>
    <t>Ochoa,Alonso</t>
  </si>
  <si>
    <t>prega007@fiu.edu</t>
  </si>
  <si>
    <t>Reganit,Paul Andrew Elemino</t>
  </si>
  <si>
    <t>xwill005@fiu.edu</t>
  </si>
  <si>
    <t>Williams,Xavier Marcus</t>
  </si>
  <si>
    <t>Computer Science: Roar</t>
  </si>
  <si>
    <t>aferr204@fiu.edu</t>
  </si>
  <si>
    <t>Ferrer,Alejandro</t>
  </si>
  <si>
    <t>ripar002@fiu.edu</t>
  </si>
  <si>
    <t>Iparraguire,Richard</t>
  </si>
  <si>
    <t>djime102@fiu.edu</t>
  </si>
  <si>
    <t>Jimenez,Dany Daniel</t>
  </si>
  <si>
    <t>dsypi002@fiu.edu</t>
  </si>
  <si>
    <t>Sypioe,David Joseph</t>
  </si>
  <si>
    <t>ianth002@fiu.edu</t>
  </si>
  <si>
    <t>Anthony,Isabella Theresia Marie</t>
  </si>
  <si>
    <t>Computer Science: ShieldSense</t>
  </si>
  <si>
    <t>mhosa004@fiu.edu</t>
  </si>
  <si>
    <t>Hosang,Myckheal Issiah</t>
  </si>
  <si>
    <t>nlioe001@fiu.edu</t>
  </si>
  <si>
    <t>Lioe-A-Tjam,Nathan Albert Yan Tai</t>
  </si>
  <si>
    <t>rvela058@fiu.edu</t>
  </si>
  <si>
    <t>Velasquez,Ruth Abigail</t>
  </si>
  <si>
    <t>asanc616@fiu.edu</t>
  </si>
  <si>
    <t>Sanchez,Alex Eduardo</t>
  </si>
  <si>
    <t>Computer Science: Story2Play</t>
  </si>
  <si>
    <t>daval006@fiu.edu</t>
  </si>
  <si>
    <t>Avalos Nerey,Diego Alejandro</t>
  </si>
  <si>
    <t>amart1313@fiu.edu</t>
  </si>
  <si>
    <t>Martinez,Agustin Huber</t>
  </si>
  <si>
    <t>apere1393@fiu.edu</t>
  </si>
  <si>
    <t>Perez-Calderon,Ainoa Liz</t>
  </si>
  <si>
    <t>msarm024@fiu.edu</t>
  </si>
  <si>
    <t>Sarmiento,Miranda</t>
  </si>
  <si>
    <t>aorda007@fiu.edu</t>
  </si>
  <si>
    <t>Ordaz,Anthony J</t>
  </si>
  <si>
    <t>Computer Science: TrainRec</t>
  </si>
  <si>
    <t>lcama042@fiu.edu</t>
  </si>
  <si>
    <t>Camacho,Luis David</t>
  </si>
  <si>
    <t>jmend327@fiu.edu</t>
  </si>
  <si>
    <t>Mendoza,Jeremias Ismael</t>
  </si>
  <si>
    <t>apale024@fiu.edu</t>
  </si>
  <si>
    <t>Palet,Abdiel</t>
  </si>
  <si>
    <t>jwill646@fiu.edu</t>
  </si>
  <si>
    <t>Williams,Jordan Nicholas</t>
  </si>
  <si>
    <t>scohe107@fiu.edu</t>
  </si>
  <si>
    <t>Cohen,Simon Moises</t>
  </si>
  <si>
    <t xml:space="preserve">Computer Science: TranslateAll </t>
  </si>
  <si>
    <t>bghos002@fiu.edu</t>
  </si>
  <si>
    <t>Ghosh,Bishal</t>
  </si>
  <si>
    <t>mrahm118@fiu.edu</t>
  </si>
  <si>
    <t>Rahman,Mahadi</t>
  </si>
  <si>
    <t>cviva003@fiu.edu</t>
  </si>
  <si>
    <t>Vivas,Christopher Emanuel</t>
  </si>
  <si>
    <t>jzela018@fiu.edu</t>
  </si>
  <si>
    <t>Zelada,Jacob Alexander</t>
  </si>
  <si>
    <t>dmart573@fiu.edu</t>
  </si>
  <si>
    <t>Martinez,Diego Miguel</t>
  </si>
  <si>
    <t>Computer Science: Veritas</t>
  </si>
  <si>
    <t>jcard200@fiu.edu</t>
  </si>
  <si>
    <t>Cardenas,Justin Michael</t>
  </si>
  <si>
    <t>cceva010@fiu.edu</t>
  </si>
  <si>
    <t>Cevallos,Christian Andre</t>
  </si>
  <si>
    <t>gcisn010@fiu.edu</t>
  </si>
  <si>
    <t>Cisneros,Gianfranco Alfredo</t>
  </si>
  <si>
    <t>Computer Science: Watchlist</t>
  </si>
  <si>
    <t>rmart493@fiu.edu</t>
  </si>
  <si>
    <t>Martinez,Raydel Alejandro</t>
  </si>
  <si>
    <t>tmwak001@fiu.edu</t>
  </si>
  <si>
    <t>Mwakalasya,Tuntufye</t>
  </si>
  <si>
    <t>zkhan032@fiu.edu</t>
  </si>
  <si>
    <t>Khan,Zoha Naz</t>
  </si>
  <si>
    <t>nmeir004@fiu.edu</t>
  </si>
  <si>
    <t>Meirambek,Nurdos</t>
  </si>
  <si>
    <t>rdans002@fiu.edu</t>
  </si>
  <si>
    <t>Dansereau,Rylan Brooks</t>
  </si>
  <si>
    <t>Cybersecurity</t>
  </si>
  <si>
    <t>Cybersecurity: Aegis Wireless</t>
  </si>
  <si>
    <t>anava139@fiu.edu</t>
  </si>
  <si>
    <t>Navas,Austin Jay</t>
  </si>
  <si>
    <t>fsuar053@fiu.edu</t>
  </si>
  <si>
    <t>Suarez-Leon,Francesca Kamilla</t>
  </si>
  <si>
    <t>froma014@fiu.edu</t>
  </si>
  <si>
    <t>Roman,Fabian</t>
  </si>
  <si>
    <t>Cybersecurity: AmiLeaked</t>
  </si>
  <si>
    <t>jbaut028@fiu.edu</t>
  </si>
  <si>
    <t>Bautista,Javier Alejandro</t>
  </si>
  <si>
    <t>jcamp239@fiu.edu</t>
  </si>
  <si>
    <t>Campo,Jose F</t>
  </si>
  <si>
    <t>nfern205@fiu.edu</t>
  </si>
  <si>
    <t>Fernandez,Noah Wayne Andres</t>
  </si>
  <si>
    <t>lgarc421@fiu.edu</t>
  </si>
  <si>
    <t>Garcia,Lucas</t>
  </si>
  <si>
    <t>apash006@fiu.edu</t>
  </si>
  <si>
    <t>Pashayev,Aykhan</t>
  </si>
  <si>
    <t>Cybersecurity: AnomAI</t>
  </si>
  <si>
    <t>galva162@fiu.edu</t>
  </si>
  <si>
    <t>Alvarez,Giovanni</t>
  </si>
  <si>
    <t>cigle034@fiu.edu</t>
  </si>
  <si>
    <t>Iglesias,Charlie</t>
  </si>
  <si>
    <t>nsuno001@fiu.edu</t>
  </si>
  <si>
    <t>Su Nobrega,Nicolas</t>
  </si>
  <si>
    <t>czhan045@fiu.edu</t>
  </si>
  <si>
    <t>Zhang,Cheng</t>
  </si>
  <si>
    <t>jocam027@fiu.edu</t>
  </si>
  <si>
    <t>Ocampo Padilla,Jennifer</t>
  </si>
  <si>
    <t>Cybersecurity: HashSlinger</t>
  </si>
  <si>
    <t>maran086@fiu.edu</t>
  </si>
  <si>
    <t>Arana,Michelle</t>
  </si>
  <si>
    <t>mclay011@fiu.edu</t>
  </si>
  <si>
    <t>Clayton,Matthew Hugh Walter</t>
  </si>
  <si>
    <t>avall152@fiu.edu</t>
  </si>
  <si>
    <t>Valladares,Axel</t>
  </si>
  <si>
    <t>ajorr006@fiu.edu</t>
  </si>
  <si>
    <t>Jorrin,Alberto Alejandro</t>
  </si>
  <si>
    <t>Cybersecurity: HomeSafe</t>
  </si>
  <si>
    <t>jfoot003@fiu.edu</t>
  </si>
  <si>
    <t>Footen,John Douglas</t>
  </si>
  <si>
    <t>anogu042@fiu.edu</t>
  </si>
  <si>
    <t>Noguera,Alejandro</t>
  </si>
  <si>
    <t>nvela048@fiu.edu</t>
  </si>
  <si>
    <t>Velazquez,Nicholas</t>
  </si>
  <si>
    <t>mglei002@fiu.edu</t>
  </si>
  <si>
    <t>Gleiberman,Max Lee</t>
  </si>
  <si>
    <t>Cybersecurity: IoTShield</t>
  </si>
  <si>
    <t>ehech011@fiu.edu</t>
  </si>
  <si>
    <t>Hechavarria,Elizabeth Ann</t>
  </si>
  <si>
    <t>jhern945@fiu.edu</t>
  </si>
  <si>
    <t>Hernandez,Julian Alexander</t>
  </si>
  <si>
    <t>nmaha036@fiu.edu</t>
  </si>
  <si>
    <t>Mahabeer,Nathan Anthony Alexander</t>
  </si>
  <si>
    <t>asand127@fiu.edu</t>
  </si>
  <si>
    <t>Sanders,Ahsan Jonah</t>
  </si>
  <si>
    <t>Cybersecurity: PhishNet</t>
  </si>
  <si>
    <t>scast208@fiu.edu</t>
  </si>
  <si>
    <t>Castellanos,Samuel Antonio</t>
  </si>
  <si>
    <t>dgile009@fiu.edu</t>
  </si>
  <si>
    <t>Giles,Devin</t>
  </si>
  <si>
    <t>crey021@fiu.edu</t>
  </si>
  <si>
    <t>Rey,Carlos Enrique</t>
  </si>
  <si>
    <t>busta001@fiu.edu</t>
  </si>
  <si>
    <t>Ustariz,Bruno</t>
  </si>
  <si>
    <t>dalfa016@fiu.edu</t>
  </si>
  <si>
    <t>Alfaro,David Sebastian</t>
  </si>
  <si>
    <t>Cybersecurity: SecureGPS</t>
  </si>
  <si>
    <t>oalal003@fiu.edu</t>
  </si>
  <si>
    <t>Alali,Omar Adel A</t>
  </si>
  <si>
    <t>nbary002@fiu.edu</t>
  </si>
  <si>
    <t>Bar Ysrael,Nahahme</t>
  </si>
  <si>
    <t>dbiko001@fiu.edu</t>
  </si>
  <si>
    <t>Bikowicz,Daniel Robert</t>
  </si>
  <si>
    <t>hgome059@fiu.edu</t>
  </si>
  <si>
    <t>Gomez,Helen Diana</t>
  </si>
  <si>
    <t>mplac007@fiu.edu</t>
  </si>
  <si>
    <t>Placencia,Marcell</t>
  </si>
  <si>
    <t>Cybersecurity: StrongPass</t>
  </si>
  <si>
    <t>zchar009@fiu.edu</t>
  </si>
  <si>
    <t>Charles,Zeyon Aaron</t>
  </si>
  <si>
    <t>uclar002@fiu.edu</t>
  </si>
  <si>
    <t>Clarke,Ulyana Isabella</t>
  </si>
  <si>
    <t>ccolo052@fiu.edu</t>
  </si>
  <si>
    <t>Colon,Christian Daniel</t>
  </si>
  <si>
    <t>ahugg010@fiu.edu</t>
  </si>
  <si>
    <t>Karborani,Anthony Michael</t>
  </si>
  <si>
    <t>lfagu008@fiu.edu</t>
  </si>
  <si>
    <t>Fagundo,Lucas Alejandro</t>
  </si>
  <si>
    <t>Cybersecurity: Vaultora</t>
  </si>
  <si>
    <t>mcale019@fiu.edu</t>
  </si>
  <si>
    <t>Calero,Mikhail Gabriel</t>
  </si>
  <si>
    <t>cceda005@fiu.edu</t>
  </si>
  <si>
    <t>Cedano,Chloe Elise</t>
  </si>
  <si>
    <t>lhern428@fiu.edu</t>
  </si>
  <si>
    <t>Hernandez,Leah</t>
  </si>
  <si>
    <t>bsosa018@fiu.edu</t>
  </si>
  <si>
    <t>Sosa,Bryan</t>
  </si>
  <si>
    <t>rcunn015@fiu.edu</t>
  </si>
  <si>
    <t>Cunningham,Rickoy</t>
  </si>
  <si>
    <t>Cybersecurity: VulNerd</t>
  </si>
  <si>
    <t>lnovy001@fiu.edu</t>
  </si>
  <si>
    <t>Faria Novy e Silva,Luisa</t>
  </si>
  <si>
    <t>jnava139@fiu.edu</t>
  </si>
  <si>
    <t>Nava-Arenas,Jonathan</t>
  </si>
  <si>
    <t>rrodr791@fiu.edu</t>
  </si>
  <si>
    <t>Rodriguez,Reynaldo Josue</t>
  </si>
  <si>
    <t>awhit140@fiu.edu</t>
  </si>
  <si>
    <t>Whiteman,Anthony Ishmai'l</t>
  </si>
  <si>
    <t>calfa028@fiu.edu</t>
  </si>
  <si>
    <t>Alfaro,Charles Alexander</t>
  </si>
  <si>
    <t>mcava032@fiu.edu</t>
  </si>
  <si>
    <t>Cavanzo,Matias Alberto</t>
  </si>
  <si>
    <t>ecole039@fiu.edu</t>
  </si>
  <si>
    <t>Coleman,Ethan Conrad</t>
  </si>
  <si>
    <t>skele003@fiu.edu</t>
  </si>
  <si>
    <t>Kelekhidze,Sandro</t>
  </si>
  <si>
    <t>foreg001@fiu.edu</t>
  </si>
  <si>
    <t>Ore Gil,Fiorella</t>
  </si>
  <si>
    <t>asyed021@fiu.edu</t>
  </si>
  <si>
    <t>Syed,Aamna</t>
  </si>
  <si>
    <t>Data Science Art Intelligence</t>
  </si>
  <si>
    <t>Data Sceince Art Intelligence: Sport stats</t>
  </si>
  <si>
    <t>pcout006@fiu.edu</t>
  </si>
  <si>
    <t>Couto,Patrick</t>
  </si>
  <si>
    <t>kdura027@fiu.edu</t>
  </si>
  <si>
    <t>Duran,Kevin</t>
  </si>
  <si>
    <t>ssyed018@fiu.edu</t>
  </si>
  <si>
    <t>Syed,Sadiya</t>
  </si>
  <si>
    <t>dsuni001@fiu.edu</t>
  </si>
  <si>
    <t>Suniaga,Dylan</t>
  </si>
  <si>
    <t>Data Sceince: Amazon Product Sales Forecast</t>
  </si>
  <si>
    <t>ffaye001@fiu.edu</t>
  </si>
  <si>
    <t>Fayed,Fesal Hesham</t>
  </si>
  <si>
    <t>moroz041@fiu.edu</t>
  </si>
  <si>
    <t>Orozco,Michelle Alejandra</t>
  </si>
  <si>
    <t>mpika001@fiu.edu</t>
  </si>
  <si>
    <t>Pikalov,Maksim</t>
  </si>
  <si>
    <t>bpogg003@fiu.edu</t>
  </si>
  <si>
    <t>Poggi,Bianca</t>
  </si>
  <si>
    <t>ayi002@fiu.edu</t>
  </si>
  <si>
    <t>Yi,Anthony</t>
  </si>
  <si>
    <t>Information Technology</t>
  </si>
  <si>
    <t xml:space="preserve">Information Technology: Automated Employee Lifecycle Management
</t>
  </si>
  <si>
    <t>epita007@fiu.edu</t>
  </si>
  <si>
    <t>Pita,Erika Rosa</t>
  </si>
  <si>
    <t>tprad007@fiu.edu</t>
  </si>
  <si>
    <t>Pradhan,Tejash Narshing</t>
  </si>
  <si>
    <t>vbruc002@fiu.edu</t>
  </si>
  <si>
    <t>Riley,Victoria</t>
  </si>
  <si>
    <t>lvazq092@fiu.edu</t>
  </si>
  <si>
    <t>Vazquez,Levis</t>
  </si>
  <si>
    <t>ntsal002@fiu.edu</t>
  </si>
  <si>
    <t>Tsalikis,Nikolas V</t>
  </si>
  <si>
    <t>Information Technology: Binger VPN</t>
  </si>
  <si>
    <t>kcruz101@fiu.edu</t>
  </si>
  <si>
    <t>Cruz,Katherine Yvette</t>
  </si>
  <si>
    <t>fmarr015@fiu.edu</t>
  </si>
  <si>
    <t>Marrero-Riera,Federico Alberto</t>
  </si>
  <si>
    <t>apach056@fiu.edu</t>
  </si>
  <si>
    <t>Pacheco,Anthony</t>
  </si>
  <si>
    <t>lpint020@fiu.edu</t>
  </si>
  <si>
    <t>Pinto,Lucca Vieira</t>
  </si>
  <si>
    <t>asada011@fiu.edu</t>
  </si>
  <si>
    <t>Sadaf,Aymanul Haque</t>
  </si>
  <si>
    <t xml:space="preserve">Information Technology: Cloud Backup System </t>
  </si>
  <si>
    <t>ajime274@fiu.edu</t>
  </si>
  <si>
    <t>Jimenez,Angel Kenay</t>
  </si>
  <si>
    <t>klewi100@fiu.edu</t>
  </si>
  <si>
    <t>Lewin,Krystal</t>
  </si>
  <si>
    <t>bnoel009@fiu.edu</t>
  </si>
  <si>
    <t>Noel,Buriel</t>
  </si>
  <si>
    <t>npier073@fiu.edu</t>
  </si>
  <si>
    <t>Pierre,Nickelli Lovaski</t>
  </si>
  <si>
    <t>sguil044@fiu.edu</t>
  </si>
  <si>
    <t>Guillen,Sebastien Jayme</t>
  </si>
  <si>
    <t>Information Technology: Data Loss Prevention</t>
  </si>
  <si>
    <t>handr019@fiu.edu</t>
  </si>
  <si>
    <t>Andrade,Horacio Anselmo</t>
  </si>
  <si>
    <t>agarc1209@fiu.edu</t>
  </si>
  <si>
    <t>Garcia,Amber Katherine</t>
  </si>
  <si>
    <t>aguti290@fiu.edu</t>
  </si>
  <si>
    <t>Gutierrez,Ana Cristina</t>
  </si>
  <si>
    <t>jsymb001@fiu.edu</t>
  </si>
  <si>
    <t>Symbleme, Jerry</t>
  </si>
  <si>
    <t>msiew004@fiu.edu</t>
  </si>
  <si>
    <t>Siewierski,Mateo</t>
  </si>
  <si>
    <t>Information Technology: Disk Space Cleaner</t>
  </si>
  <si>
    <t>ddicu001@fiu.edu</t>
  </si>
  <si>
    <t>Dicuru,Diana</t>
  </si>
  <si>
    <t>emerl004@fiu.edu</t>
  </si>
  <si>
    <t>Merlano,Enrique</t>
  </si>
  <si>
    <t>erend003@fiu.edu</t>
  </si>
  <si>
    <t>Rendon,Eric Alfredo</t>
  </si>
  <si>
    <t>ytur001@fiu.edu</t>
  </si>
  <si>
    <t>Tur,Yoan Sebastian</t>
  </si>
  <si>
    <t>ilora004@fiu.edu</t>
  </si>
  <si>
    <t>Lora,Isaiah</t>
  </si>
  <si>
    <t>Information Technology: Health Information Management System</t>
  </si>
  <si>
    <t>jbuck028@fiu.edu</t>
  </si>
  <si>
    <t>Buckmon,Jamia-Symone</t>
  </si>
  <si>
    <t>ncook011@fiu.edu</t>
  </si>
  <si>
    <t>Cook,Noah Isaac</t>
  </si>
  <si>
    <t>jdora018@fiu.edu</t>
  </si>
  <si>
    <t>Doralus,Johnathan Kyler</t>
  </si>
  <si>
    <t>biban005@fiu.edu</t>
  </si>
  <si>
    <t>Ibanez,Barbaro Reyniel</t>
  </si>
  <si>
    <t>edeol005@fiu.edu</t>
  </si>
  <si>
    <t>De Oliveira Gomes,Enzo Felippe</t>
  </si>
  <si>
    <t>Information Technology: Pantry Inventory Management System</t>
  </si>
  <si>
    <t>abeat011@fiu.edu</t>
  </si>
  <si>
    <t>Beaton,Aiden</t>
  </si>
  <si>
    <t>mlope712@fiu.edu</t>
  </si>
  <si>
    <t>Lopez,Michael Andrew</t>
  </si>
  <si>
    <t>jramo216@fiu.edu</t>
  </si>
  <si>
    <t>Ramos,Jovan</t>
  </si>
  <si>
    <t>nvill072@fiu.edu</t>
  </si>
  <si>
    <t>Villate,Nicholas Felipe</t>
  </si>
  <si>
    <t>aayes002@fiu.edu</t>
  </si>
  <si>
    <t>Ayestas,Anthony Alexis</t>
  </si>
  <si>
    <t>Information Technology: RemoteX</t>
  </si>
  <si>
    <t>ghern238@fiu.edu</t>
  </si>
  <si>
    <t>Hernandez,Gabriela</t>
  </si>
  <si>
    <t>cjose132@fiu.edu</t>
  </si>
  <si>
    <t>Joseph,Christopher</t>
  </si>
  <si>
    <t>joroz044@fiu.edu</t>
  </si>
  <si>
    <t>Orozco,Jefferson Stuart</t>
  </si>
  <si>
    <t>asoto170@fiu.edu</t>
  </si>
  <si>
    <t>Soto,Alexander Mario</t>
  </si>
  <si>
    <t>kmcbe002@fiu.edu</t>
  </si>
  <si>
    <t>Mcbean,Keanu Diondre</t>
  </si>
  <si>
    <t xml:space="preserve">Information Technology: Student PreClick </t>
  </si>
  <si>
    <t>falha034@fiu.edu</t>
  </si>
  <si>
    <t>Alhazzaa,Faisal Ibrahim</t>
  </si>
  <si>
    <t>adela241@fiu.edu</t>
  </si>
  <si>
    <t>Delarosa,Aaron</t>
  </si>
  <si>
    <t>lpaga013@fiu.edu</t>
  </si>
  <si>
    <t>Pagan,Luis Daniel</t>
  </si>
  <si>
    <t>Information Technology: vSecure</t>
  </si>
  <si>
    <t>ejean120@fiu.edu</t>
  </si>
  <si>
    <t>Jean-Louis,Ernst Isaiah</t>
  </si>
  <si>
    <t>blope144@fiu.edu</t>
  </si>
  <si>
    <t>Lopez,Brandon Alexander</t>
  </si>
  <si>
    <t>nnwaj001@fiu.edu</t>
  </si>
  <si>
    <t>Nwajide,Nnamdi</t>
  </si>
  <si>
    <t>mocon028@fiu.edu</t>
  </si>
  <si>
    <t>Ocon,Max Alejandro</t>
  </si>
  <si>
    <t>Column1</t>
  </si>
  <si>
    <t>FIU Email (@fiu.edu)</t>
  </si>
  <si>
    <t>Project Title</t>
  </si>
  <si>
    <t>Project Description</t>
  </si>
  <si>
    <t>Your Academic Major</t>
  </si>
  <si>
    <t>Commitment, should your project is accepted and picked by our students</t>
  </si>
  <si>
    <t>Benjamin Ramos</t>
  </si>
  <si>
    <t>CAMP</t>
  </si>
  <si>
    <t>CAMP is a downloadable desktop application that uses AI to automatically analyze construction plans and extract key project information like room layouts, dimensions, and material schedules.</t>
  </si>
  <si>
    <t>Stefany Maria Castro</t>
  </si>
  <si>
    <t>Chronic Kidney Disease Prediction System</t>
  </si>
  <si>
    <t>The purpose of the app is creating a software that can make potential predictions and explanations, when a doctor inputs a patient's lab value or visual results. With the use of datasets and research, we will be able to create an app that will help the healthcare professions in detecting chronic kidney disease early on. This could lead to saving more people from chronic kidney disease and with more advancements in the future, it could potentially expand to other medical conditions.</t>
  </si>
  <si>
    <t>Adrian Franquin</t>
  </si>
  <si>
    <t>CineMatch</t>
  </si>
  <si>
    <t>A movie platform where users rate movies, and the system suggests new ones using database queries (genre matching, average ratings, user filters).</t>
  </si>
  <si>
    <t>Wesley Del Orbe</t>
  </si>
  <si>
    <t>ClassConnect</t>
  </si>
  <si>
    <t>ClassConnect is a question board intended specifically for FIU instructors and students to use in class. The app offers one location where students can ask questions in-class or post-class, and instructors and students can answer in real-time. Anonymous posting, upvoting, and threaded discussion make ClassConnect an active and interactive learning space. By closing the gaps in communication between the teachers and students, the app increases interaction, promotes academic achievement, and enhances the Panther learning culture.</t>
  </si>
  <si>
    <t>Christopher Paz</t>
  </si>
  <si>
    <t>DevKid</t>
  </si>
  <si>
    <t>DevKid is an e-learning platform with adaptive quizzing, designed to personalize the learning experience for students by adjusting difficulty based on individual performance. The platform leverages adaptive algorithms to provide tailored pathways to mastery, ensuring learners are continuously challenged at the appropriate level.</t>
  </si>
  <si>
    <t>Matias Casal</t>
  </si>
  <si>
    <t>FitLabel</t>
  </si>
  <si>
    <t>FitLabel is an app that helps the user scan the nutrition labels on food products and instantly understand how what you eat connects to your fitness goals. This app uses an AI that scans the label behind products, which highlights the key facts like: calories, protein, carbs, fat, sugar, sodium, and translates them into something easy to understand. FitLabel also suggest how each food works best for you by telling the user if the product is good for pre and after workout. It even builds simple workout routines based on your weight, height, and goals. The goal of this app is to help people with no nutrition or fitness experience by giving them an easy, guided way to understand their food choices and follow those routines that fit their goals.</t>
  </si>
  <si>
    <t>Van Quang Ho</t>
  </si>
  <si>
    <t>FlowInsight</t>
  </si>
  <si>
    <t>FlowInsight is an retail management system that utilizes OpenCV computer vision technology to automatically detect, track, and analyze customer flow in store environment. The platform provides real-time occupancy monitoring, entry/exit tracking, and comprehensive analytics to help store managers optimize operations, ensure safety compliance, and enhance customer experience.</t>
  </si>
  <si>
    <t>Miguel Pineda</t>
  </si>
  <si>
    <t>FraudShield</t>
  </si>
  <si>
    <t>FraudShield is a machine learning project focused on detecting unusual credit card and e-commerce transactions using the Kaggle “Credit Card Fraud Detection” dataset. Leveraging Logistic Regression, Random Forest, and anomaly detection methods, the project delivers a simple app where users can input transaction details to instantly receive a prediction, along with a visualization of detected anomalies.</t>
  </si>
  <si>
    <t>Santiago Defelice</t>
  </si>
  <si>
    <t>HMT</t>
  </si>
  <si>
    <t>Hardware Monitoring Tool. Similar to AIDA64 Extreme sesor feature however this software will be much easier to create UI for the User.</t>
  </si>
  <si>
    <t>Juan Carlos Gomez Alvarado</t>
  </si>
  <si>
    <t>Intelligent Home Monitoring System</t>
  </si>
  <si>
    <t>Our project aims to implement an intelligent home energy monitoring system for users to analyze historical and real time energy consumption and detect anomalies like unusual energy spikes or faulty devices</t>
  </si>
  <si>
    <t>Victoria Vilar</t>
  </si>
  <si>
    <t>KeyLock</t>
  </si>
  <si>
    <t>Market vision is an AI plugin tool used to create suggestions or recommendations for new and rookie investors as well as general financial advice for investing, using current and previous stock market patterns and behaviors to predict optimal stock transactions.</t>
  </si>
  <si>
    <t>Christian Mendez</t>
  </si>
  <si>
    <t>Lingualink</t>
  </si>
  <si>
    <t>A real time translator that is able to bridge the language barrier by being able to convert text across various languages.</t>
  </si>
  <si>
    <t>Kenneth Ye</t>
  </si>
  <si>
    <t>MarketVision</t>
  </si>
  <si>
    <t>Michael Saint-Blancard</t>
  </si>
  <si>
    <t xml:space="preserve">Momentum </t>
  </si>
  <si>
    <t>Momentum is a health app designed to boost motivation through workout and calorie tracking with AI workout recommendations and gamified features like streaks, badges, and leaderboards to turn healthy living into a motivating game.</t>
  </si>
  <si>
    <t>Alex Cardoso</t>
  </si>
  <si>
    <t>NextPick</t>
  </si>
  <si>
    <t xml:space="preserve"> Movie/book platform that pulls data from top movie/book sites (imbd, goodreads, etc ) and uses an algorithm to come up with future recommendations for the user based on their past read, favorite genres , and other specifications.</t>
  </si>
  <si>
    <t>Catalina cisneros</t>
  </si>
  <si>
    <t>NutriChoice</t>
  </si>
  <si>
    <t>NutriChoice is a web app that recommends personalized recipes using clustering based on user preferences, allergies, and calorie goals.</t>
  </si>
  <si>
    <t>Luka Varazi</t>
  </si>
  <si>
    <t>Panthera</t>
  </si>
  <si>
    <t>Panthera is your smart campus companion built for FIU students. From class schedules and event updates to financial aid, parking, and study tools, Panthera delivers fast, reliable answers tailored to student life. Whether you're navigating deadlines or finding your next lecture hall, Panthera keeps you connected, informed, and one step ahead.</t>
  </si>
  <si>
    <t>Test</t>
  </si>
  <si>
    <t>luis lopez</t>
  </si>
  <si>
    <t>Place Holder 24</t>
  </si>
  <si>
    <t>Place Holder 29</t>
  </si>
  <si>
    <t>Juan Diaz-Zulaaga</t>
  </si>
  <si>
    <t>Play&amp;Watch</t>
  </si>
  <si>
    <t xml:space="preserve">Platform in which gives movies and videogames recommendations based on the user preferences, movies and games can be filtered by user preferences, favorites, previously playes or watches as well as the mood that the user is currently feeling. </t>
  </si>
  <si>
    <t>Jacob Berdeal</t>
  </si>
  <si>
    <t>PriceRelate</t>
  </si>
  <si>
    <t>PriceRelate helps consumers find and compare prices from across multiple retailers to find the best deals on products they want to buy. The platform is goin to use AI to analyze different prices from across the web, compare them in real-time, and alert users when better deals become available.</t>
  </si>
  <si>
    <t>Elaine Torrese</t>
  </si>
  <si>
    <t>Product Finder</t>
  </si>
  <si>
    <t>Interface between consumers and grocery stores which allows consumers to make grocery lists and grocers to update product availability. Based on a consumer grocery list, the program allows consumers to see what is  currently available across multiple grocery stores.</t>
  </si>
  <si>
    <t>Jaedon Charles</t>
  </si>
  <si>
    <t>RealState</t>
  </si>
  <si>
    <t>Real estate price appraisal application that utilizes a machine learning model in conjunction with software engineering best practices to deliver the user a streamlined real estate scouting experience through the accurate forecasting of property value based on various local and economic metrics, sourced from an external Real Estate Database API.</t>
  </si>
  <si>
    <t>Gabriel Alexis Nogueras</t>
  </si>
  <si>
    <t>Rentability</t>
  </si>
  <si>
    <t>An AI powered scheduling app for business to keep track and manage their rental services</t>
  </si>
  <si>
    <t>Xavier Williams</t>
  </si>
  <si>
    <t>Roar</t>
  </si>
  <si>
    <t xml:space="preserve">Social Media Platform made for Sports fans by Sports fans to share photos and recordings of their POV at a game. When a game winning shot is made or a late home run is hit, you won't miss the Roar. </t>
  </si>
  <si>
    <t>Isabella Anthony</t>
  </si>
  <si>
    <t>Ianth002@fiu.edu</t>
  </si>
  <si>
    <t>ShieldSense</t>
  </si>
  <si>
    <t>ShieldSense is an IoT home monitoring system designed to enhance residential safety and energy efficiency. Using a network of sensors and microcontrollers, the system will collect real time data on environmental conditions and security events. The system's mobile application will provide users with a real time dashboard and instant notifications for events such as motion detection, temperature fluctuations, and unauthorized access.</t>
  </si>
  <si>
    <t>Miranda Sarmiento</t>
  </si>
  <si>
    <t>Story2Play</t>
  </si>
  <si>
    <t>An AI tool where you can upload a photo and it suggests songs from your library or the Internet to match the vibe</t>
  </si>
  <si>
    <t>Anthony Ordaz</t>
  </si>
  <si>
    <t>TrainRec</t>
  </si>
  <si>
    <t xml:space="preserve">TrainRec is a fitness tracker app, that analyzes the user's fitness goals and through visual input verifies the user's excercise form is perfect. It aims to push the user to meet their fitness and caloric goals through a personalized interface and an interactive trainer. </t>
  </si>
  <si>
    <t>Simon Cohen</t>
  </si>
  <si>
    <t xml:space="preserve">TranslateAll </t>
  </si>
  <si>
    <t xml:space="preserve">App that creates subtitles for any sort of audiovisual media </t>
  </si>
  <si>
    <t>Diego Martinez</t>
  </si>
  <si>
    <t>Veritas</t>
  </si>
  <si>
    <t>Veritas is a capstone project developed to address the growing challenge of misinformation in digital media. The system leverages Artificial Intelligence (A.I.) to analyze news articles, detect misleading content, and classify information as credible or suspicious.</t>
  </si>
  <si>
    <t>Raydel Martinez</t>
  </si>
  <si>
    <t>Watchlist</t>
  </si>
  <si>
    <t>Watchlist is a smart app that helps you decide what to watch by recommending TV shows based on your favorite genres, preferred episode length, and past favorites. It makes finding your next binge simple and personalized.</t>
  </si>
  <si>
    <t>Rylan Dansereau</t>
  </si>
  <si>
    <t>Aegis Wireless</t>
  </si>
  <si>
    <t>Aegis Wireless is a robust network scanner designed to fortify your Wi-Fi. Simply install the tool to scan your active network, and Aegis will assess its vulnerabilities. You'll receive an easy-to-understand robustness score, giving you confidence in the safety and security of your wireless connection.</t>
  </si>
  <si>
    <t>Fabian Roman</t>
  </si>
  <si>
    <t>AmiLeaked</t>
  </si>
  <si>
    <t xml:space="preserve">AmiLeaked is a program that monitors your VPN connection for leaks, and urgently warns the user if it detects one. It also warns the user if it thinks the connection is at risk of a leak. </t>
  </si>
  <si>
    <t>Aykhan Pashayev</t>
  </si>
  <si>
    <t>AnomAI</t>
  </si>
  <si>
    <t>AnomAI will be a Cloud SOC Analaysis tool which integrating AI tools with Amazon Web Services to detects anomalies, and generates alerts + human-readable security summaries.</t>
  </si>
  <si>
    <t>Michelle Arana</t>
  </si>
  <si>
    <t>HashSlinger</t>
  </si>
  <si>
    <t xml:space="preserve">Our project will be a simulated lab environment that shows two models of how passwords are handled and stored. We will be creating a demonstration of an insecure design and secure design. As well as, providing a risk assesment on both models. </t>
  </si>
  <si>
    <t>Alberto Jorrin</t>
  </si>
  <si>
    <t xml:space="preserve"> ajorr006@fiu.edu</t>
  </si>
  <si>
    <t>HomeSafe</t>
  </si>
  <si>
    <t>HomeSafe will make a risk assessment of smart home IoT devices such as cameras, thermostats, and locks, focusion on vulnerabilites like default passwords, vulnerable network connections, and outdated firmware. This project will evaluate these risks and give you solutions.</t>
  </si>
  <si>
    <t>Max Gleiberman</t>
  </si>
  <si>
    <t>IoTShield</t>
  </si>
  <si>
    <t xml:space="preserve">IoTShield is a cybersecurity capstone project that simulates IoT devices in a virtual enviornment to detect threats using SIEM tools. The project includes generating normal and malicious network traffic, configuring monitoring systems, and creating a comprehensive risk assessment document with mitigation strategies. Team roles include SIEM analyst, IoT Simulator, Threat Simulator, and Risk Assessor. </t>
  </si>
  <si>
    <t>Ahsan Sanders</t>
  </si>
  <si>
    <t>PhishNet</t>
  </si>
  <si>
    <t>This project uses phishing simulations and training to raise awareness and reduce risk from phishing attacks.</t>
  </si>
  <si>
    <t>Helen Gomez</t>
  </si>
  <si>
    <t>SecureGPS</t>
  </si>
  <si>
    <t xml:space="preserve">SecureGPS is a security tool for users designed to detect and alert if there is any suspicion of GPS spoofing activity. The tool will mointor GPS data for any anomalies, sending an alert and mitigation steps to the user. </t>
  </si>
  <si>
    <t>Marcell Placencia</t>
  </si>
  <si>
    <t>StrongPass</t>
  </si>
  <si>
    <t>Our project is a password tool that enables users to generate strong, secure passwords designed to resist brute-force attacks, helping improve overall account security, facilitating the process for the user</t>
  </si>
  <si>
    <t>Mikhail Calero</t>
  </si>
  <si>
    <t>Vaultora</t>
  </si>
  <si>
    <t>Vaultora is a secure file transfer and storage system that protects sensitive data through encryption, authentication, and access controls. Will ensure that files remain confidential, intact, and available.</t>
  </si>
  <si>
    <t>Luisa Faria Novy E Silva</t>
  </si>
  <si>
    <t>VulNerd</t>
  </si>
  <si>
    <t xml:space="preserve">VulNerd is an automated reporting tool for vulnerability assesments. It imports the scanner results, computes the risks per asset and ranks them, and finally generates a remediation guidance report with timelines. </t>
  </si>
  <si>
    <t>Dylan Suniaga</t>
  </si>
  <si>
    <t>Amazon Product Sales Forecast</t>
  </si>
  <si>
    <t>This project focuses on forecasting Amazon product sales by combining reviews, ratings, product image quality, and other data related to the product. By analyzing both customer feedback and visual presentation, it highlights how these factors contribute to sales performance.</t>
  </si>
  <si>
    <t>Data Sceince</t>
  </si>
  <si>
    <t>Aamna syed</t>
  </si>
  <si>
    <t>Sports stats</t>
  </si>
  <si>
    <t>This project focuses on analyzing sports performance by combining player statistics, team records, and game outcomes.</t>
  </si>
  <si>
    <t>Anthony Yi</t>
  </si>
  <si>
    <t xml:space="preserve">Automated Employee Lifecycle Management
</t>
  </si>
  <si>
    <t>When HR updates employee records (Ex. New Hire, termination), the integrations performs an automated action that either updates internal systems and/or creates tickets, alerts, and any additional items to handle user onboarding/maintenance/ or offboarding</t>
  </si>
  <si>
    <t>Nikolas Tsalikis</t>
  </si>
  <si>
    <t>Binger VPN</t>
  </si>
  <si>
    <t>A secure OpenVPN setup on Ubuntu (or chosen machine) for remote access. Includes user authentication, firewall rules, logging, and usage documentation to protect internal network resources.</t>
  </si>
  <si>
    <t>Buriel Noel</t>
  </si>
  <si>
    <t xml:space="preserve">Cloud Backup System </t>
  </si>
  <si>
    <t>this project focuses on building a cloud system that automatically backs up business data and restores it quickly after a failure. It’s affordable, secure, and practical for small businesses.</t>
  </si>
  <si>
    <t>Amber Garcia</t>
  </si>
  <si>
    <t>Data Loss Prevention</t>
  </si>
  <si>
    <t>This project develops an automated backup and recovery system to protect critical data in a virtualized environment.</t>
  </si>
  <si>
    <t>Mateo Siewierski</t>
  </si>
  <si>
    <t>Disk Space Cleaner</t>
  </si>
  <si>
    <t>This project is a smart disk space cleaner that scans for large, duplicate, and temporary files, generates storage reports, and allows users to safely remove or schedule cleanups with backup options.</t>
  </si>
  <si>
    <t>Isaiah Lora</t>
  </si>
  <si>
    <t>Health Information Management System</t>
  </si>
  <si>
    <t>This project serves as a Health Information Management system</t>
  </si>
  <si>
    <t>Enzo Gomes</t>
  </si>
  <si>
    <t>Pantry Inventory Management System</t>
  </si>
  <si>
    <t>A web and mobile system designed to manage FIU’s food pantry inventory. The system will feature an admin dashboard to manage stock. And an user side, for students and staff. The solution will include authentication, and role-based access to support both administrators and end users.</t>
  </si>
  <si>
    <t>Jefferson Orozco</t>
  </si>
  <si>
    <t>RemoteX</t>
  </si>
  <si>
    <t>A system that allows users to power on their PC from anywhere and securely access it remotely, eliminating the need to be physically near the machine.</t>
  </si>
  <si>
    <t>Keanu Mcbean</t>
  </si>
  <si>
    <t xml:space="preserve">Student PreClick </t>
  </si>
  <si>
    <t xml:space="preserve">AI Rule Based Chatbot that will inform students of what to expect in a course they will choose such workload previous student experiences with the professor. </t>
  </si>
  <si>
    <t>Max Ocon</t>
  </si>
  <si>
    <t>mao028@fiu.edu</t>
  </si>
  <si>
    <t>vSecure</t>
  </si>
  <si>
    <t>This project focuses on creating secure virtual infrastructure using VMware to administrate and maintain virtual machines.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</si>
</sst>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8"/>
      <name val="Calibri"/>
      <family val="2"/>
      <scheme val="minor"/>
    </font>
    <font>
      <sz val="11"/>
      <color theme="1"/>
      <name val="Arial"/>
      <family val="2"/>
    </font>
    <font>
      <sz val="11"/>
      <color rgb="FFFFFFFF"/>
      <name val="Arial"/>
      <family val="2"/>
    </font>
    <font>
      <b/>
      <sz val="11"/>
      <color theme="1"/>
      <name val="Calibri"/>
      <family val="2"/>
      <scheme val="minor"/>
    </font>
    <font>
      <u/>
      <sz val="11"/>
      <color theme="10"/>
      <name val="Calibri"/>
      <family val="2"/>
      <scheme val="minor"/>
    </font>
    <font>
      <sz val="10"/>
      <color rgb="FF434343"/>
      <name val="Roboto"/>
    </font>
    <font>
      <sz val="11"/>
      <color theme="1"/>
      <name val="Calibri (Body)"/>
    </font>
    <font>
      <sz val="10"/>
      <color rgb="FFFFFFFF"/>
      <name val="Roboto"/>
    </font>
    <font>
      <sz val="11"/>
      <color rgb="FF000000"/>
      <name val="Calibri"/>
      <family val="2"/>
    </font>
    <font>
      <b/>
      <sz val="11"/>
      <color rgb="FF000000"/>
      <name val="Calibri"/>
      <family val="2"/>
      <scheme val="minor"/>
    </font>
    <font>
      <i/>
      <u/>
      <sz val="11"/>
      <color theme="1"/>
      <name val="Calibri"/>
      <family val="2"/>
      <scheme val="minor"/>
    </font>
    <font>
      <sz val="11"/>
      <color rgb="FF000000"/>
      <name val="Calibri"/>
      <family val="2"/>
      <scheme val="minor"/>
    </font>
    <font>
      <sz val="11"/>
      <color rgb="FF242424"/>
      <name val="Aptos Narrow"/>
    </font>
    <font>
      <sz val="10"/>
      <color theme="1"/>
      <name val="Roboto"/>
    </font>
    <font>
      <b/>
      <sz val="10"/>
      <color theme="1"/>
      <name val="Roboto"/>
    </font>
    <font>
      <sz val="11"/>
      <color theme="1"/>
      <name val="Arial"/>
      <family val="2"/>
    </font>
    <font>
      <sz val="11"/>
      <color theme="1" tint="0.249977111117893"/>
      <name val="Calibri"/>
      <family val="2"/>
      <scheme val="minor"/>
    </font>
    <font>
      <sz val="11"/>
      <color rgb="FF434343"/>
      <name val="Calibri"/>
      <family val="2"/>
      <scheme val="minor"/>
    </font>
    <font>
      <sz val="11"/>
      <color rgb="FF404040"/>
      <name val="Calibri"/>
      <family val="2"/>
      <scheme val="minor"/>
    </font>
    <font>
      <b/>
      <sz val="11"/>
      <color theme="1"/>
      <name val="Calibri (Body)"/>
    </font>
    <font>
      <sz val="11"/>
      <color rgb="FF006100"/>
      <name val="Calibri"/>
      <family val="2"/>
    </font>
    <font>
      <sz val="11"/>
      <color theme="9" tint="-0.499984740745262"/>
      <name val="Calibri"/>
      <family val="2"/>
      <scheme val="minor"/>
    </font>
    <font>
      <b/>
      <sz val="11"/>
      <color rgb="FF006100"/>
      <name val="Calibri"/>
      <family val="2"/>
      <scheme val="minor"/>
    </font>
    <font>
      <b/>
      <sz val="11"/>
      <color rgb="FF006100"/>
      <name val="Calibri"/>
      <family val="2"/>
      <scheme val="minor"/>
    </font>
  </fonts>
  <fills count="5">
    <fill>
      <patternFill patternType="none"/>
    </fill>
    <fill>
      <patternFill patternType="gray125"/>
    </fill>
    <fill>
      <patternFill patternType="solid">
        <fgColor rgb="FF5B9BD5"/>
        <bgColor rgb="FF5B9BD5"/>
      </patternFill>
    </fill>
    <fill>
      <patternFill patternType="solid">
        <fgColor theme="4" tint="0.79998168889431442"/>
        <bgColor indexed="64"/>
      </patternFill>
    </fill>
    <fill>
      <patternFill patternType="solid">
        <fgColor rgb="FFC6EFCE"/>
        <bgColor indexed="64"/>
      </patternFill>
    </fill>
  </fills>
  <borders count="2">
    <border>
      <left/>
      <right/>
      <top/>
      <bottom/>
      <diagonal/>
    </border>
    <border>
      <left/>
      <right/>
      <top style="thin">
        <color rgb="FF000000"/>
      </top>
      <bottom/>
      <diagonal/>
    </border>
  </borders>
  <cellStyleXfs count="2">
    <xf numFmtId="0" fontId="0" fillId="0" borderId="0"/>
    <xf numFmtId="0" fontId="5" fillId="0" borderId="0" applyNumberFormat="0" applyFill="0" applyBorder="0" applyAlignment="0" applyProtection="0"/>
  </cellStyleXfs>
  <cellXfs count="34">
    <xf numFmtId="0" fontId="0" fillId="0" borderId="0" xfId="0"/>
    <xf numFmtId="0" fontId="2" fillId="0" borderId="0" xfId="0" applyFont="1" applyAlignment="1">
      <alignment horizontal="left" vertical="center"/>
    </xf>
    <xf numFmtId="0" fontId="3" fillId="2" borderId="0" xfId="0" applyFont="1" applyFill="1" applyAlignment="1">
      <alignment horizontal="left" vertical="center"/>
    </xf>
    <xf numFmtId="0" fontId="7" fillId="0" borderId="0" xfId="0" applyFont="1" applyAlignment="1">
      <alignment horizontal="left" vertical="center"/>
    </xf>
    <xf numFmtId="0" fontId="0" fillId="0" borderId="0" xfId="0" applyAlignment="1">
      <alignment horizontal="left" vertical="center"/>
    </xf>
    <xf numFmtId="0" fontId="4" fillId="0" borderId="0" xfId="0" applyFont="1" applyAlignment="1">
      <alignment horizontal="left" vertical="center"/>
    </xf>
    <xf numFmtId="0" fontId="9" fillId="0" borderId="0" xfId="0" applyFont="1"/>
    <xf numFmtId="0" fontId="11" fillId="0" borderId="0" xfId="0" applyFont="1" applyAlignment="1">
      <alignment horizontal="left" vertical="center"/>
    </xf>
    <xf numFmtId="0" fontId="10" fillId="0" borderId="0" xfId="0" applyFont="1" applyAlignment="1">
      <alignment horizontal="left" vertical="center"/>
    </xf>
    <xf numFmtId="0" fontId="12" fillId="0" borderId="0" xfId="0" applyFont="1" applyAlignment="1">
      <alignment horizontal="left" vertical="center"/>
    </xf>
    <xf numFmtId="0" fontId="12" fillId="0" borderId="0" xfId="0" applyFont="1"/>
    <xf numFmtId="0" fontId="16" fillId="0" borderId="0" xfId="0" applyFont="1" applyAlignment="1">
      <alignment horizontal="left" vertical="center"/>
    </xf>
    <xf numFmtId="0" fontId="5" fillId="0" borderId="0" xfId="1" applyAlignment="1"/>
    <xf numFmtId="0" fontId="8" fillId="0" borderId="0" xfId="0" applyFont="1"/>
    <xf numFmtId="0" fontId="18" fillId="0" borderId="0" xfId="0" applyFont="1"/>
    <xf numFmtId="0" fontId="17" fillId="0" borderId="0" xfId="0" applyFont="1"/>
    <xf numFmtId="0" fontId="19" fillId="0" borderId="0" xfId="0" applyFont="1"/>
    <xf numFmtId="0" fontId="0" fillId="0" borderId="1" xfId="0" applyBorder="1" applyAlignment="1">
      <alignment horizontal="left" vertical="center"/>
    </xf>
    <xf numFmtId="0" fontId="20" fillId="0" borderId="0" xfId="0" applyFont="1" applyAlignment="1">
      <alignment horizontal="left" vertical="center"/>
    </xf>
    <xf numFmtId="0" fontId="5" fillId="0" borderId="0" xfId="1"/>
    <xf numFmtId="0" fontId="4" fillId="0" borderId="0" xfId="0" applyFont="1"/>
    <xf numFmtId="0" fontId="4" fillId="3" borderId="0" xfId="0" applyFont="1" applyFill="1"/>
    <xf numFmtId="0" fontId="0" fillId="3" borderId="0" xfId="0" applyFill="1"/>
    <xf numFmtId="0" fontId="10" fillId="3" borderId="0" xfId="0" applyFont="1" applyFill="1"/>
    <xf numFmtId="0" fontId="6" fillId="0" borderId="0" xfId="0" applyFont="1"/>
    <xf numFmtId="0" fontId="22" fillId="4" borderId="0" xfId="0" applyFont="1" applyFill="1"/>
    <xf numFmtId="0" fontId="10" fillId="0" borderId="0" xfId="0" applyFont="1"/>
    <xf numFmtId="0" fontId="21" fillId="4" borderId="0" xfId="0" applyFont="1" applyFill="1"/>
    <xf numFmtId="0" fontId="13" fillId="0" borderId="0" xfId="0" applyFont="1"/>
    <xf numFmtId="0" fontId="15" fillId="0" borderId="0" xfId="0" applyFont="1"/>
    <xf numFmtId="0" fontId="14" fillId="0" borderId="0" xfId="0" applyFont="1"/>
    <xf numFmtId="0" fontId="21" fillId="0" borderId="0" xfId="0" applyFont="1"/>
    <xf numFmtId="0" fontId="23" fillId="0" borderId="0" xfId="0" applyFont="1" applyAlignment="1">
      <alignment horizontal="left" vertical="center"/>
    </xf>
    <xf numFmtId="0" fontId="24" fillId="0" borderId="0" xfId="0" applyFont="1" applyAlignment="1">
      <alignment horizontal="left" vertical="center"/>
    </xf>
  </cellXfs>
  <cellStyles count="2">
    <cellStyle name="Hyperlink" xfId="1" xr:uid="{00000000-000B-0000-0000-000008000000}"/>
    <cellStyle name="Normal" xfId="0" builtinId="0"/>
  </cellStyles>
  <dxfs count="102">
    <dxf>
      <font>
        <color rgb="FF006100"/>
      </font>
      <fill>
        <patternFill>
          <bgColor rgb="FFC6EFCE"/>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9C5700"/>
      </font>
      <fill>
        <patternFill>
          <bgColor rgb="FFFFEB9C"/>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5700"/>
      </font>
      <fill>
        <patternFill>
          <bgColor rgb="FFFFEB9C"/>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strike val="0"/>
        <outline val="0"/>
        <shadow val="0"/>
        <vertAlign val="baseline"/>
        <sz val="11"/>
        <name val="Calibri"/>
        <family val="2"/>
        <scheme val="minor"/>
      </font>
      <alignment horizontal="general" vertical="bottom" textRotation="0" wrapText="0" indent="0" justifyLastLine="0" shrinkToFit="0" readingOrder="0"/>
    </dxf>
    <dxf>
      <font>
        <strike val="0"/>
        <outline val="0"/>
        <shadow val="0"/>
        <vertAlign val="baseline"/>
        <sz val="11"/>
        <name val="Calibri"/>
        <family val="2"/>
        <scheme val="minor"/>
      </font>
      <alignment horizontal="general" vertical="bottom" textRotation="0" wrapText="0" indent="0" justifyLastLine="0" shrinkToFit="0" readingOrder="0"/>
    </dxf>
    <dxf>
      <font>
        <strike val="0"/>
        <outline val="0"/>
        <shadow val="0"/>
        <vertAlign val="baseline"/>
        <sz val="11"/>
        <name val="Calibri"/>
        <family val="2"/>
        <scheme val="minor"/>
      </font>
      <alignment horizontal="general" vertical="bottom" textRotation="0" wrapText="0" indent="0" justifyLastLine="0" shrinkToFit="0" readingOrder="0"/>
    </dxf>
    <dxf>
      <font>
        <strike val="0"/>
        <outline val="0"/>
        <shadow val="0"/>
        <vertAlign val="baseline"/>
        <sz val="11"/>
        <name val="Calibri"/>
        <family val="2"/>
        <scheme val="minor"/>
      </font>
      <alignment horizontal="general" vertical="bottom" textRotation="0" wrapText="0" indent="0" justifyLastLine="0" shrinkToFit="0" readingOrder="0"/>
    </dxf>
    <dxf>
      <font>
        <strike val="0"/>
        <outline val="0"/>
        <shadow val="0"/>
        <vertAlign val="baseline"/>
        <sz val="11"/>
        <name val="Calibri"/>
        <family val="2"/>
        <scheme val="minor"/>
      </font>
      <alignment horizontal="general" vertical="bottom" textRotation="0" wrapText="0" indent="0" justifyLastLine="0" shrinkToFit="0" readingOrder="0"/>
    </dxf>
    <dxf>
      <font>
        <strike val="0"/>
        <outline val="0"/>
        <shadow val="0"/>
        <vertAlign val="baseline"/>
        <sz val="11"/>
        <name val="Calibri"/>
        <family val="2"/>
        <scheme val="minor"/>
      </font>
      <alignment horizontal="general" vertical="bottom" textRotation="0" wrapText="0" indent="0" justifyLastLine="0" shrinkToFit="0" readingOrder="0"/>
    </dxf>
    <dxf>
      <font>
        <strike val="0"/>
        <outline val="0"/>
        <shadow val="0"/>
        <vertAlign val="baseline"/>
        <sz val="11"/>
        <name val="Calibri"/>
        <family val="2"/>
        <scheme val="minor"/>
      </font>
      <numFmt numFmtId="0" formatCode="General"/>
      <alignment horizontal="general" vertical="bottom" textRotation="0" wrapText="0" indent="0" justifyLastLine="0" shrinkToFit="0" readingOrder="0"/>
    </dxf>
    <dxf>
      <font>
        <strike val="0"/>
        <outline val="0"/>
        <shadow val="0"/>
        <vertAlign val="baseline"/>
        <sz val="11"/>
        <name val="Calibri"/>
        <family val="2"/>
        <scheme val="minor"/>
      </font>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left" vertical="center" textRotation="0" wrapText="0" indent="0" justifyLastLine="0" shrinkToFit="0" readingOrder="0"/>
    </dxf>
    <dxf>
      <font>
        <b val="0"/>
        <strike val="0"/>
        <outline val="0"/>
        <shadow val="0"/>
        <u val="none"/>
        <vertAlign val="baseline"/>
        <sz val="11"/>
        <color theme="1"/>
        <name val="Calibri"/>
        <family val="2"/>
        <scheme val="minor"/>
      </font>
      <numFmt numFmtId="0" formatCode="General"/>
      <alignment horizontal="left" vertical="center" textRotation="0" wrapText="0" indent="0" justifyLastLine="0" shrinkToFit="0" readingOrder="0"/>
    </dxf>
    <dxf>
      <font>
        <b val="0"/>
        <strike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outline val="0"/>
        <shadow val="0"/>
        <u val="none"/>
        <vertAlign val="baseline"/>
        <sz val="11"/>
        <color theme="1"/>
        <name val="Calibri"/>
        <family val="2"/>
        <scheme val="minor"/>
      </font>
      <fill>
        <patternFill patternType="solid">
          <fgColor indexed="64"/>
          <bgColor theme="4"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Calibri (Body)"/>
        <scheme val="none"/>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outline val="0"/>
        <shadow val="0"/>
        <u val="none"/>
        <vertAlign val="baseline"/>
        <sz val="11"/>
        <color theme="1"/>
        <name val="Calibri"/>
        <family val="2"/>
        <scheme val="minor"/>
      </font>
      <alignment horizontal="left" vertical="center" textRotation="0" wrapText="0" indent="0" justifyLastLine="0" shrinkToFit="0" readingOrder="0"/>
    </dxf>
    <dxf>
      <font>
        <strike val="0"/>
        <outline val="0"/>
        <shadow val="0"/>
        <vertAlign val="baseline"/>
        <sz val="11"/>
        <name val="Arial"/>
      </font>
      <alignment horizontal="left" vertical="center" textRotation="0" wrapText="0" indent="0" justifyLastLine="0" shrinkToFit="0" readingOrder="0"/>
    </dxf>
  </dxfs>
  <tableStyles count="0" defaultTableStyle="TableStyleMedium2" defaultPivotStyle="PivotStyleLight16"/>
  <colors>
    <mruColors>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9B25E4-3E2F-7149-9B44-58B46CA040D1}" name="TableFA21324" displayName="TableFA21324" ref="A1:X250" totalsRowShown="0" headerRowDxfId="101" dataDxfId="100">
  <tableColumns count="24">
    <tableColumn id="1" xr3:uid="{9BF71145-7FA6-1141-A86E-FC48877F9D37}" name="Email" dataDxfId="99"/>
    <tableColumn id="2" xr3:uid="{040CA9C0-92D7-C849-A3A4-2C105C374D41}" name="Name" dataDxfId="98"/>
    <tableColumn id="29" xr3:uid="{2C862473-8622-E14C-83FD-5B65E7DBD663}" name="Program" dataDxfId="97"/>
    <tableColumn id="25" xr3:uid="{429560E1-93A6-E245-A1C1-CC04B1698614}" name="Mode" dataDxfId="96"/>
    <tableColumn id="3" xr3:uid="{E551C07E-5675-0A47-862F-C2FB04A1961A}" name="Class" dataDxfId="95"/>
    <tableColumn id="4" xr3:uid="{A312F9A3-CAF6-BD48-BA5B-FC6703D0B1DD}" name="Project" dataDxfId="94"/>
    <tableColumn id="14" xr3:uid="{9A793309-A6E7-2242-AB65-A401B729A12D}" name="Prog Mem" dataDxfId="93">
      <calculatedColumnFormula>COUNTIFS(TableFA21324[Project],TableFA21324[[#This Row],[Project]],TableFA21324[Program],TableFA21324[[#This Row],[Program]])</calculatedColumnFormula>
    </tableColumn>
    <tableColumn id="5" xr3:uid="{977E1F3B-621F-394D-969F-4F1268B4E13C}" name="Total" dataDxfId="92">
      <calculatedColumnFormula>COUNTIFS(TableFA21324[Project],TableFA21324[[#This Row],[Project]])</calculatedColumnFormula>
    </tableColumn>
    <tableColumn id="9" xr3:uid="{2F1CA4B1-1C5E-2942-A048-5A8ED9EA2FFE}" name="Role" dataDxfId="91"/>
    <tableColumn id="10" xr3:uid="{E520801E-3B32-3A4A-B486-630252F84327}" name="Project Status" dataDxfId="90"/>
    <tableColumn id="20" xr3:uid="{26D104B1-D953-DF48-A3F8-B8B1C0F05D21}" name="Sprint 1 Week 1" dataDxfId="89"/>
    <tableColumn id="19" xr3:uid="{6C179730-C123-7E4B-8BE5-1B60E6164095}" name="Sprint 1 Week 2" dataDxfId="88"/>
    <tableColumn id="18" xr3:uid="{1269352B-0DCB-C047-AC2F-B6A6B3CF72CE}" name="Sprint 2 Week 1" dataDxfId="87"/>
    <tableColumn id="17" xr3:uid="{2316AABC-10E7-B84F-83D6-CFEC1B61A5FB}" name="Sprint 2 Week 2" dataDxfId="86"/>
    <tableColumn id="16" xr3:uid="{EEDFD5CA-F974-314F-B9D8-72DF0B0185AB}" name="Sprint 3 Week 1" dataDxfId="85"/>
    <tableColumn id="15" xr3:uid="{9CAE4FFE-5982-0345-9E0F-C5FE8C6DF00E}" name="Sprint 3 Week 2" dataDxfId="84"/>
    <tableColumn id="11" xr3:uid="{435E87CB-04B0-174E-BE1D-7FFC702DE943}" name="Sprint 4 Week 1" dataDxfId="83"/>
    <tableColumn id="12" xr3:uid="{F2DF6F72-03E6-EF47-988B-F08B2CAB2E7A}" name="Sprint 4 Week 2" dataDxfId="82"/>
    <tableColumn id="21" xr3:uid="{E8022143-FD77-464B-953B-5198331DD121}" name="Sprint 5 Week 1" dataDxfId="81"/>
    <tableColumn id="13" xr3:uid="{8D6F1A02-F46B-3A44-A4F7-58E403740880}" name="Sprint 5 Week 2" dataDxfId="80"/>
    <tableColumn id="6" xr3:uid="{7CE52A68-B7C1-9940-898F-1E621B3CC2AF}" name="Sprint 6 Week 1" dataDxfId="79"/>
    <tableColumn id="22" xr3:uid="{279EAAD1-ADD8-E44E-987F-487B235FAD24}" name="Sprint 6 Week 2" dataDxfId="78"/>
    <tableColumn id="23" xr3:uid="{F7EBD117-4BDC-6F45-A830-81DB5EF7DEEE}" name="Sprint 7 Week 1" dataDxfId="77"/>
    <tableColumn id="24" xr3:uid="{FA547037-0ECD-C546-BF92-287F5CF74E70}" name="Sprint 7 Week 2" dataDxfId="7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DA1011-F3B0-DD45-BC79-9F447E2EF528}" name="Projects" displayName="Projects" ref="A1:G57" totalsRowShown="0" headerRowDxfId="75" dataDxfId="74">
  <tableColumns count="7">
    <tableColumn id="1" xr3:uid="{1B037287-E345-8449-9A9B-53F02682C5F8}" name="Project" dataDxfId="73">
      <calculatedColumnFormula>_xlfn.CONCAT(Projects[[#This Row],[Your Academic Major]], ": ", Projects[[#This Row],[Project Title]])</calculatedColumnFormula>
    </tableColumn>
    <tableColumn id="2" xr3:uid="{A06128A3-5FBD-9541-BE08-A15FAB96D82F}" name="Column1" dataDxfId="72"/>
    <tableColumn id="3" xr3:uid="{81BBD409-BE27-1144-9A84-3BAC77608B66}" name="FIU Email (@fiu.edu)" dataDxfId="71"/>
    <tableColumn id="4" xr3:uid="{349D9491-A616-604A-8004-FD76B61AC590}" name="Project Title" dataDxfId="70"/>
    <tableColumn id="5" xr3:uid="{E50B04EE-BCFD-8043-8CFD-2F2BFC3F8D0D}" name="Project Description" dataDxfId="69"/>
    <tableColumn id="6" xr3:uid="{F42C1C34-9A64-6F44-837C-EFBFAA94EF01}" name="Your Academic Major" dataDxfId="68"/>
    <tableColumn id="7" xr3:uid="{A7566324-5375-E84E-A682-D91B7C3095E5}" name="Commitment, should your project is accepted and picked by our students" dataDxfId="6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mailto:ssyed018@fiu.edu" TargetMode="External"/><Relationship Id="rId7" Type="http://schemas.openxmlformats.org/officeDocument/2006/relationships/table" Target="../tables/table1.xml"/><Relationship Id="rId2" Type="http://schemas.openxmlformats.org/officeDocument/2006/relationships/hyperlink" Target="mailto:kdura027@fiu.edu" TargetMode="External"/><Relationship Id="rId1" Type="http://schemas.openxmlformats.org/officeDocument/2006/relationships/hyperlink" Target="mailto:pcout006@fiu.edu" TargetMode="External"/><Relationship Id="rId6" Type="http://schemas.openxmlformats.org/officeDocument/2006/relationships/vmlDrawing" Target="../drawings/vmlDrawing1.vml"/><Relationship Id="rId5" Type="http://schemas.openxmlformats.org/officeDocument/2006/relationships/hyperlink" Target="mailto:joroz044@fiu.edu" TargetMode="External"/><Relationship Id="rId4" Type="http://schemas.openxmlformats.org/officeDocument/2006/relationships/hyperlink" Target="mailto:jfran348@fiu.edu"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mailto:wdelo008@fiu.edu" TargetMode="External"/><Relationship Id="rId18" Type="http://schemas.openxmlformats.org/officeDocument/2006/relationships/hyperlink" Target="mailto:ccisn016@fiu.edu" TargetMode="External"/><Relationship Id="rId26" Type="http://schemas.openxmlformats.org/officeDocument/2006/relationships/hyperlink" Target="mailto:asand127@fiu.edu" TargetMode="External"/><Relationship Id="rId39" Type="http://schemas.openxmlformats.org/officeDocument/2006/relationships/hyperlink" Target="mailto:afran257@fiu.edu" TargetMode="External"/><Relationship Id="rId21" Type="http://schemas.openxmlformats.org/officeDocument/2006/relationships/hyperlink" Target="mailto:mcasa089@fiu.edu" TargetMode="External"/><Relationship Id="rId34" Type="http://schemas.openxmlformats.org/officeDocument/2006/relationships/hyperlink" Target="mailto:froma014@fiu.edu" TargetMode="External"/><Relationship Id="rId42" Type="http://schemas.openxmlformats.org/officeDocument/2006/relationships/hyperlink" Target="mailto:lvara004@fiu.edu" TargetMode="External"/><Relationship Id="rId47" Type="http://schemas.openxmlformats.org/officeDocument/2006/relationships/hyperlink" Target="mailto:ilora004@fiu.edu" TargetMode="External"/><Relationship Id="rId50" Type="http://schemas.openxmlformats.org/officeDocument/2006/relationships/hyperlink" Target="mailto:cmend181@fiu.edu" TargetMode="External"/><Relationship Id="rId7" Type="http://schemas.openxmlformats.org/officeDocument/2006/relationships/hyperlink" Target="mailto:jberd009@fiu.edu" TargetMode="External"/><Relationship Id="rId2" Type="http://schemas.openxmlformats.org/officeDocument/2006/relationships/hyperlink" Target="mailto:xwill005@fiu.edu" TargetMode="External"/><Relationship Id="rId16" Type="http://schemas.openxmlformats.org/officeDocument/2006/relationships/hyperlink" Target="mailto:edeol005@fiu.edu" TargetMode="External"/><Relationship Id="rId29" Type="http://schemas.openxmlformats.org/officeDocument/2006/relationships/hyperlink" Target="mailto:llope424@fiu.edu" TargetMode="External"/><Relationship Id="rId11" Type="http://schemas.openxmlformats.org/officeDocument/2006/relationships/hyperlink" Target="mailto:ayi002@fiu.edu" TargetMode="External"/><Relationship Id="rId24" Type="http://schemas.openxmlformats.org/officeDocument/2006/relationships/hyperlink" Target="mailto:Ianth002@fiu.edu" TargetMode="External"/><Relationship Id="rId32" Type="http://schemas.openxmlformats.org/officeDocument/2006/relationships/hyperlink" Target="mailto:maran086@fiu.edu" TargetMode="External"/><Relationship Id="rId37" Type="http://schemas.openxmlformats.org/officeDocument/2006/relationships/hyperlink" Target="mailto:sdefe002@fiu.edu" TargetMode="External"/><Relationship Id="rId40" Type="http://schemas.openxmlformats.org/officeDocument/2006/relationships/hyperlink" Target="mailto:cpaz026@fiu.edu" TargetMode="External"/><Relationship Id="rId45" Type="http://schemas.openxmlformats.org/officeDocument/2006/relationships/hyperlink" Target="mailto:rmart493@fiu.edu" TargetMode="External"/><Relationship Id="rId5" Type="http://schemas.openxmlformats.org/officeDocument/2006/relationships/hyperlink" Target="mailto:dsuni001@fiu.edu" TargetMode="External"/><Relationship Id="rId15" Type="http://schemas.openxmlformats.org/officeDocument/2006/relationships/hyperlink" Target="mailto:acard192@fiu.edu" TargetMode="External"/><Relationship Id="rId23" Type="http://schemas.openxmlformats.org/officeDocument/2006/relationships/hyperlink" Target="mailto:joroz044@fiu.edu" TargetMode="External"/><Relationship Id="rId28" Type="http://schemas.openxmlformats.org/officeDocument/2006/relationships/hyperlink" Target="mailto:scohe107@fiu.edu" TargetMode="External"/><Relationship Id="rId36" Type="http://schemas.openxmlformats.org/officeDocument/2006/relationships/hyperlink" Target="mailto:msiew004@fiu.edu" TargetMode="External"/><Relationship Id="rId49" Type="http://schemas.openxmlformats.org/officeDocument/2006/relationships/hyperlink" Target="mailto:jgome508@fiu.edu" TargetMode="External"/><Relationship Id="rId10" Type="http://schemas.openxmlformats.org/officeDocument/2006/relationships/hyperlink" Target="mailto:vho006@fiu.edu" TargetMode="External"/><Relationship Id="rId19" Type="http://schemas.openxmlformats.org/officeDocument/2006/relationships/hyperlink" Target="mailto:jdiaz707@fiu.edu" TargetMode="External"/><Relationship Id="rId31" Type="http://schemas.openxmlformats.org/officeDocument/2006/relationships/hyperlink" Target="mailto:bnoel009@fiu.edu" TargetMode="External"/><Relationship Id="rId44" Type="http://schemas.openxmlformats.org/officeDocument/2006/relationships/hyperlink" Target="mailto:rdans002@fiu.edu" TargetMode="External"/><Relationship Id="rId52" Type="http://schemas.openxmlformats.org/officeDocument/2006/relationships/table" Target="../tables/table2.xml"/><Relationship Id="rId4" Type="http://schemas.openxmlformats.org/officeDocument/2006/relationships/hyperlink" Target="mailto:dmart573@fiu.edu" TargetMode="External"/><Relationship Id="rId9" Type="http://schemas.openxmlformats.org/officeDocument/2006/relationships/hyperlink" Target="mailto:jchar144@fiu.edu" TargetMode="External"/><Relationship Id="rId14" Type="http://schemas.openxmlformats.org/officeDocument/2006/relationships/hyperlink" Target="mailto:msain116@fiu.edu" TargetMode="External"/><Relationship Id="rId22" Type="http://schemas.openxmlformats.org/officeDocument/2006/relationships/hyperlink" Target="mailto:gnogu010@fiu.edu" TargetMode="External"/><Relationship Id="rId27" Type="http://schemas.openxmlformats.org/officeDocument/2006/relationships/hyperlink" Target="mailto:mglei002@fiu.edu" TargetMode="External"/><Relationship Id="rId30" Type="http://schemas.openxmlformats.org/officeDocument/2006/relationships/hyperlink" Target="mailto:aorda007@fiu.edu" TargetMode="External"/><Relationship Id="rId35" Type="http://schemas.openxmlformats.org/officeDocument/2006/relationships/hyperlink" Target="mailto:mplac007@fiu.edu" TargetMode="External"/><Relationship Id="rId43" Type="http://schemas.openxmlformats.org/officeDocument/2006/relationships/hyperlink" Target="mailto:bramo029@fiu.edu" TargetMode="External"/><Relationship Id="rId48" Type="http://schemas.openxmlformats.org/officeDocument/2006/relationships/hyperlink" Target="mailto:kmcbe002@fiu.edu" TargetMode="External"/><Relationship Id="rId8" Type="http://schemas.openxmlformats.org/officeDocument/2006/relationships/hyperlink" Target="mailto:agarc1209@fiu.edu" TargetMode="External"/><Relationship Id="rId51" Type="http://schemas.openxmlformats.org/officeDocument/2006/relationships/hyperlink" Target="mailto:asyed021@fiu.edu" TargetMode="External"/><Relationship Id="rId3" Type="http://schemas.openxmlformats.org/officeDocument/2006/relationships/hyperlink" Target="mailto:msarm024@fiu.edu" TargetMode="External"/><Relationship Id="rId12" Type="http://schemas.openxmlformats.org/officeDocument/2006/relationships/hyperlink" Target="mailto:etorr007@fiu.edu" TargetMode="External"/><Relationship Id="rId17" Type="http://schemas.openxmlformats.org/officeDocument/2006/relationships/hyperlink" Target="mailto:hgome059@fiu.edu" TargetMode="External"/><Relationship Id="rId25" Type="http://schemas.openxmlformats.org/officeDocument/2006/relationships/hyperlink" Target="mailto:ntsal002@fiu.edu" TargetMode="External"/><Relationship Id="rId33" Type="http://schemas.openxmlformats.org/officeDocument/2006/relationships/hyperlink" Target="mailto:mpine095@fiu.edu" TargetMode="External"/><Relationship Id="rId38" Type="http://schemas.openxmlformats.org/officeDocument/2006/relationships/hyperlink" Target="mailto:mao028@fiu.edu" TargetMode="External"/><Relationship Id="rId46" Type="http://schemas.openxmlformats.org/officeDocument/2006/relationships/hyperlink" Target="mailto:vvila012@fiu.edu" TargetMode="External"/><Relationship Id="rId20" Type="http://schemas.openxmlformats.org/officeDocument/2006/relationships/hyperlink" Target="mailto:lnovy001@fiu.edu" TargetMode="External"/><Relationship Id="rId41" Type="http://schemas.openxmlformats.org/officeDocument/2006/relationships/hyperlink" Target="mailto:kye002@fiu.edu" TargetMode="External"/><Relationship Id="rId1" Type="http://schemas.openxmlformats.org/officeDocument/2006/relationships/hyperlink" Target="mailto:apash006@fiu.edu" TargetMode="External"/><Relationship Id="rId6" Type="http://schemas.openxmlformats.org/officeDocument/2006/relationships/hyperlink" Target="mailto:mcale019@fiu.edu"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449D9-849C-3744-8FD0-38CE1E9EA7B0}">
  <dimension ref="A1:X254"/>
  <sheetViews>
    <sheetView tabSelected="1" zoomScale="200" zoomScaleNormal="200" workbookViewId="0">
      <selection activeCell="B2" sqref="A2:X250"/>
    </sheetView>
  </sheetViews>
  <sheetFormatPr baseColWidth="10" defaultColWidth="11.5" defaultRowHeight="15" x14ac:dyDescent="0.2"/>
  <cols>
    <col min="1" max="1" width="17.6640625" bestFit="1" customWidth="1"/>
    <col min="2" max="2" width="21.33203125" customWidth="1"/>
    <col min="3" max="3" width="16.33203125" customWidth="1"/>
    <col min="4" max="4" width="16" customWidth="1"/>
    <col min="5" max="5" width="10.83203125" customWidth="1"/>
    <col min="6" max="6" width="63.5" customWidth="1"/>
    <col min="7" max="7" width="10" customWidth="1"/>
    <col min="8" max="8" width="5.6640625" bestFit="1" customWidth="1"/>
    <col min="9" max="9" width="10.33203125" bestFit="1" customWidth="1"/>
    <col min="10" max="10" width="12" customWidth="1"/>
    <col min="11" max="11" width="15.1640625" bestFit="1" customWidth="1"/>
    <col min="12" max="12" width="16.1640625" customWidth="1"/>
    <col min="13" max="15" width="16.5" bestFit="1" customWidth="1"/>
    <col min="16" max="16" width="16" bestFit="1" customWidth="1"/>
    <col min="17" max="17" width="14.5" bestFit="1" customWidth="1"/>
    <col min="18" max="21" width="16.5" bestFit="1" customWidth="1"/>
    <col min="22" max="23" width="16.1640625" customWidth="1"/>
    <col min="24" max="24" width="16.33203125" customWidth="1"/>
  </cols>
  <sheetData>
    <row r="1" spans="1:24" s="11" customFormat="1" ht="14" x14ac:dyDescent="0.2">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s="5" customFormat="1" x14ac:dyDescent="0.2">
      <c r="A2" s="20" t="s">
        <v>24</v>
      </c>
      <c r="B2" s="20" t="s">
        <v>25</v>
      </c>
      <c r="C2" s="20" t="s">
        <v>26</v>
      </c>
      <c r="D2" s="20" t="s">
        <v>27</v>
      </c>
      <c r="E2" s="21" t="s">
        <v>28</v>
      </c>
      <c r="F2" s="5" t="s">
        <v>29</v>
      </c>
      <c r="G2" s="5">
        <f>COUNTIFS(TableFA21324[Project],TableFA21324[[#This Row],[Project]],TableFA21324[Program],TableFA21324[[#This Row],[Program]])</f>
        <v>5</v>
      </c>
      <c r="H2" s="5">
        <f>COUNTIFS(TableFA21324[Project],TableFA21324[[#This Row],[Project]])</f>
        <v>5</v>
      </c>
      <c r="I2" s="5" t="s">
        <v>30</v>
      </c>
      <c r="K2" s="5" t="s">
        <v>31</v>
      </c>
      <c r="L2" s="5" t="s">
        <v>31</v>
      </c>
      <c r="M2" s="5" t="s">
        <v>31</v>
      </c>
      <c r="N2" s="5" t="s">
        <v>31</v>
      </c>
      <c r="O2" s="5" t="s">
        <v>31</v>
      </c>
      <c r="P2" s="5" t="s">
        <v>31</v>
      </c>
      <c r="Q2" s="5" t="s">
        <v>31</v>
      </c>
      <c r="R2" s="5" t="s">
        <v>31</v>
      </c>
      <c r="S2" s="5" t="s">
        <v>31</v>
      </c>
      <c r="T2" s="5" t="s">
        <v>31</v>
      </c>
      <c r="U2" s="5" t="s">
        <v>31</v>
      </c>
      <c r="V2" s="5" t="s">
        <v>31</v>
      </c>
    </row>
    <row r="3" spans="1:24" s="4" customFormat="1" x14ac:dyDescent="0.2">
      <c r="A3" t="s">
        <v>32</v>
      </c>
      <c r="B3" t="s">
        <v>33</v>
      </c>
      <c r="C3" t="s">
        <v>26</v>
      </c>
      <c r="D3" t="s">
        <v>27</v>
      </c>
      <c r="E3" s="22" t="s">
        <v>28</v>
      </c>
      <c r="F3" s="4" t="s">
        <v>29</v>
      </c>
      <c r="G3" s="5">
        <f>COUNTIFS(TableFA21324[Project],TableFA21324[[#This Row],[Project]],TableFA21324[Program],TableFA21324[[#This Row],[Program]])</f>
        <v>5</v>
      </c>
      <c r="H3" s="5">
        <f>COUNTIFS(TableFA21324[Project],TableFA21324[[#This Row],[Project]])</f>
        <v>5</v>
      </c>
      <c r="K3" s="4" t="s">
        <v>31</v>
      </c>
      <c r="L3" s="4" t="s">
        <v>31</v>
      </c>
      <c r="M3" s="4" t="s">
        <v>31</v>
      </c>
      <c r="N3" s="4" t="s">
        <v>31</v>
      </c>
      <c r="O3" s="4" t="s">
        <v>31</v>
      </c>
      <c r="P3" s="4" t="s">
        <v>31</v>
      </c>
      <c r="Q3" s="4" t="s">
        <v>31</v>
      </c>
      <c r="R3" s="4" t="s">
        <v>31</v>
      </c>
      <c r="S3" s="4" t="s">
        <v>31</v>
      </c>
      <c r="T3" s="4" t="s">
        <v>31</v>
      </c>
      <c r="U3" s="4" t="s">
        <v>31</v>
      </c>
      <c r="V3" s="4" t="s">
        <v>31</v>
      </c>
    </row>
    <row r="4" spans="1:24" s="4" customFormat="1" x14ac:dyDescent="0.2">
      <c r="A4" t="s">
        <v>34</v>
      </c>
      <c r="B4" t="s">
        <v>35</v>
      </c>
      <c r="C4" t="s">
        <v>26</v>
      </c>
      <c r="D4" t="s">
        <v>27</v>
      </c>
      <c r="E4" s="22" t="s">
        <v>28</v>
      </c>
      <c r="F4" s="4" t="s">
        <v>29</v>
      </c>
      <c r="G4" s="5">
        <f>COUNTIFS(TableFA21324[Project],TableFA21324[[#This Row],[Project]],TableFA21324[Program],TableFA21324[[#This Row],[Program]])</f>
        <v>5</v>
      </c>
      <c r="H4" s="5">
        <f>COUNTIFS(TableFA21324[Project],TableFA21324[[#This Row],[Project]])</f>
        <v>5</v>
      </c>
      <c r="J4" s="5"/>
      <c r="K4" s="4" t="s">
        <v>31</v>
      </c>
      <c r="L4" s="4" t="s">
        <v>31</v>
      </c>
      <c r="M4" s="4" t="s">
        <v>31</v>
      </c>
      <c r="N4" s="4" t="s">
        <v>31</v>
      </c>
      <c r="O4" s="4" t="s">
        <v>31</v>
      </c>
      <c r="P4" s="4" t="s">
        <v>31</v>
      </c>
      <c r="Q4" s="4" t="s">
        <v>31</v>
      </c>
      <c r="R4" s="4" t="s">
        <v>31</v>
      </c>
      <c r="S4" s="4" t="s">
        <v>31</v>
      </c>
      <c r="T4" s="4" t="s">
        <v>31</v>
      </c>
      <c r="U4" s="4" t="s">
        <v>31</v>
      </c>
      <c r="V4" s="4" t="s">
        <v>31</v>
      </c>
      <c r="W4" s="5"/>
      <c r="X4" s="5"/>
    </row>
    <row r="5" spans="1:24" s="4" customFormat="1" x14ac:dyDescent="0.2">
      <c r="A5" t="s">
        <v>36</v>
      </c>
      <c r="B5" t="s">
        <v>37</v>
      </c>
      <c r="C5" t="s">
        <v>26</v>
      </c>
      <c r="D5" t="s">
        <v>27</v>
      </c>
      <c r="E5" s="22" t="s">
        <v>28</v>
      </c>
      <c r="F5" s="4" t="s">
        <v>29</v>
      </c>
      <c r="G5" s="5">
        <f>COUNTIFS(TableFA21324[Project],TableFA21324[[#This Row],[Project]],TableFA21324[Program],TableFA21324[[#This Row],[Program]])</f>
        <v>5</v>
      </c>
      <c r="H5" s="5">
        <f>COUNTIFS(TableFA21324[Project],TableFA21324[[#This Row],[Project]])</f>
        <v>5</v>
      </c>
      <c r="K5" s="4" t="s">
        <v>31</v>
      </c>
      <c r="L5" s="4" t="s">
        <v>31</v>
      </c>
      <c r="M5" s="4" t="s">
        <v>31</v>
      </c>
      <c r="N5" s="4" t="s">
        <v>31</v>
      </c>
      <c r="O5" s="4" t="s">
        <v>31</v>
      </c>
      <c r="P5" s="4" t="s">
        <v>31</v>
      </c>
      <c r="Q5" s="4" t="s">
        <v>31</v>
      </c>
      <c r="R5" s="4" t="s">
        <v>31</v>
      </c>
      <c r="S5" s="4" t="s">
        <v>31</v>
      </c>
      <c r="T5" s="4" t="s">
        <v>31</v>
      </c>
      <c r="U5" s="4" t="s">
        <v>31</v>
      </c>
      <c r="V5" s="4" t="s">
        <v>31</v>
      </c>
    </row>
    <row r="6" spans="1:24" s="4" customFormat="1" x14ac:dyDescent="0.2">
      <c r="A6" s="4" t="s">
        <v>38</v>
      </c>
      <c r="B6" s="4" t="s">
        <v>39</v>
      </c>
      <c r="C6" s="4" t="s">
        <v>26</v>
      </c>
      <c r="D6" s="3" t="s">
        <v>27</v>
      </c>
      <c r="E6" s="22" t="s">
        <v>28</v>
      </c>
      <c r="F6" s="4" t="s">
        <v>29</v>
      </c>
      <c r="G6" s="5">
        <f>COUNTIFS(TableFA21324[Project],TableFA21324[[#This Row],[Project]],TableFA21324[Program],TableFA21324[[#This Row],[Program]])</f>
        <v>5</v>
      </c>
      <c r="H6" s="5">
        <f>COUNTIFS(TableFA21324[Project],TableFA21324[[#This Row],[Project]])</f>
        <v>5</v>
      </c>
      <c r="K6" s="4" t="s">
        <v>31</v>
      </c>
      <c r="L6" s="4" t="s">
        <v>31</v>
      </c>
      <c r="M6" s="4" t="s">
        <v>31</v>
      </c>
      <c r="N6" s="4" t="s">
        <v>31</v>
      </c>
      <c r="O6" s="4" t="s">
        <v>31</v>
      </c>
      <c r="P6" s="4" t="s">
        <v>31</v>
      </c>
      <c r="Q6" s="4" t="s">
        <v>31</v>
      </c>
      <c r="R6" s="4" t="s">
        <v>31</v>
      </c>
      <c r="S6" s="4" t="s">
        <v>31</v>
      </c>
      <c r="T6" s="4" t="s">
        <v>31</v>
      </c>
      <c r="U6" s="4" t="s">
        <v>31</v>
      </c>
      <c r="V6" s="4" t="s">
        <v>31</v>
      </c>
    </row>
    <row r="7" spans="1:24" s="4" customFormat="1" x14ac:dyDescent="0.2">
      <c r="A7" s="20" t="s">
        <v>40</v>
      </c>
      <c r="B7" s="20" t="s">
        <v>41</v>
      </c>
      <c r="C7" s="20" t="s">
        <v>26</v>
      </c>
      <c r="D7" s="20" t="s">
        <v>27</v>
      </c>
      <c r="E7" s="22" t="s">
        <v>28</v>
      </c>
      <c r="F7" s="5" t="s">
        <v>42</v>
      </c>
      <c r="G7" s="5">
        <f>COUNTIFS(TableFA21324[Project],TableFA21324[[#This Row],[Project]],TableFA21324[Program],TableFA21324[[#This Row],[Program]])</f>
        <v>5</v>
      </c>
      <c r="H7" s="5">
        <f>COUNTIFS(TableFA21324[Project],TableFA21324[[#This Row],[Project]])</f>
        <v>5</v>
      </c>
      <c r="I7" s="5" t="s">
        <v>30</v>
      </c>
      <c r="J7" s="5"/>
      <c r="K7" s="5" t="s">
        <v>31</v>
      </c>
      <c r="L7" s="5" t="s">
        <v>31</v>
      </c>
      <c r="M7" s="5" t="s">
        <v>31</v>
      </c>
      <c r="N7" s="5" t="s">
        <v>31</v>
      </c>
      <c r="O7" s="5" t="s">
        <v>31</v>
      </c>
      <c r="P7" s="5" t="s">
        <v>31</v>
      </c>
      <c r="Q7" s="5" t="s">
        <v>31</v>
      </c>
      <c r="R7" s="5" t="s">
        <v>31</v>
      </c>
      <c r="S7" s="5" t="s">
        <v>31</v>
      </c>
      <c r="T7" s="5" t="s">
        <v>31</v>
      </c>
      <c r="U7" s="5" t="s">
        <v>31</v>
      </c>
      <c r="V7" s="5"/>
      <c r="W7" s="5"/>
      <c r="X7" s="5"/>
    </row>
    <row r="8" spans="1:24" s="4" customFormat="1" x14ac:dyDescent="0.2">
      <c r="A8" t="s">
        <v>43</v>
      </c>
      <c r="B8" t="s">
        <v>44</v>
      </c>
      <c r="C8" t="s">
        <v>26</v>
      </c>
      <c r="D8" t="s">
        <v>27</v>
      </c>
      <c r="E8" s="22" t="s">
        <v>28</v>
      </c>
      <c r="F8" s="4" t="s">
        <v>42</v>
      </c>
      <c r="G8" s="5">
        <f>COUNTIFS(TableFA21324[Project],TableFA21324[[#This Row],[Project]],TableFA21324[Program],TableFA21324[[#This Row],[Program]])</f>
        <v>5</v>
      </c>
      <c r="H8" s="5">
        <f>COUNTIFS(TableFA21324[Project],TableFA21324[[#This Row],[Project]])</f>
        <v>5</v>
      </c>
      <c r="K8" s="4" t="s">
        <v>31</v>
      </c>
      <c r="L8" s="4" t="s">
        <v>31</v>
      </c>
      <c r="M8" s="4" t="s">
        <v>31</v>
      </c>
      <c r="N8" s="4" t="s">
        <v>31</v>
      </c>
      <c r="O8" s="4" t="s">
        <v>31</v>
      </c>
      <c r="P8" s="4" t="s">
        <v>31</v>
      </c>
      <c r="Q8" s="4" t="s">
        <v>31</v>
      </c>
      <c r="R8" s="4" t="s">
        <v>31</v>
      </c>
      <c r="S8" s="4" t="s">
        <v>31</v>
      </c>
      <c r="T8" s="4" t="s">
        <v>31</v>
      </c>
      <c r="U8" s="4" t="s">
        <v>31</v>
      </c>
    </row>
    <row r="9" spans="1:24" s="4" customFormat="1" x14ac:dyDescent="0.2">
      <c r="A9" t="s">
        <v>45</v>
      </c>
      <c r="B9" s="4" t="s">
        <v>46</v>
      </c>
      <c r="C9" s="4" t="s">
        <v>26</v>
      </c>
      <c r="D9" s="3" t="s">
        <v>27</v>
      </c>
      <c r="E9" s="22" t="s">
        <v>28</v>
      </c>
      <c r="F9" s="4" t="s">
        <v>42</v>
      </c>
      <c r="G9" s="5">
        <f>COUNTIFS(TableFA21324[Project],TableFA21324[[#This Row],[Project]],TableFA21324[Program],TableFA21324[[#This Row],[Program]])</f>
        <v>5</v>
      </c>
      <c r="H9" s="5">
        <f>COUNTIFS(TableFA21324[Project],TableFA21324[[#This Row],[Project]])</f>
        <v>5</v>
      </c>
      <c r="K9" s="4" t="s">
        <v>31</v>
      </c>
      <c r="L9" s="4" t="s">
        <v>31</v>
      </c>
      <c r="M9" s="4" t="s">
        <v>31</v>
      </c>
      <c r="N9" s="4" t="s">
        <v>31</v>
      </c>
      <c r="O9" s="4" t="s">
        <v>31</v>
      </c>
      <c r="P9" s="4" t="s">
        <v>31</v>
      </c>
      <c r="Q9" s="4" t="s">
        <v>31</v>
      </c>
      <c r="R9" s="4" t="s">
        <v>31</v>
      </c>
      <c r="S9" s="4" t="s">
        <v>31</v>
      </c>
      <c r="T9" s="4" t="s">
        <v>31</v>
      </c>
      <c r="U9" s="4" t="s">
        <v>31</v>
      </c>
    </row>
    <row r="10" spans="1:24" s="4" customFormat="1" x14ac:dyDescent="0.2">
      <c r="A10" s="4" t="s">
        <v>47</v>
      </c>
      <c r="B10" s="4" t="s">
        <v>48</v>
      </c>
      <c r="C10" s="4" t="s">
        <v>26</v>
      </c>
      <c r="D10" s="3" t="s">
        <v>27</v>
      </c>
      <c r="E10" s="22" t="s">
        <v>28</v>
      </c>
      <c r="F10" s="4" t="s">
        <v>42</v>
      </c>
      <c r="G10" s="5">
        <f>COUNTIFS(TableFA21324[Project],TableFA21324[[#This Row],[Project]],TableFA21324[Program],TableFA21324[[#This Row],[Program]])</f>
        <v>5</v>
      </c>
      <c r="H10" s="5">
        <f>COUNTIFS(TableFA21324[Project],TableFA21324[[#This Row],[Project]])</f>
        <v>5</v>
      </c>
      <c r="K10" s="4" t="s">
        <v>49</v>
      </c>
      <c r="L10" s="4" t="s">
        <v>49</v>
      </c>
      <c r="M10" s="4" t="s">
        <v>31</v>
      </c>
      <c r="N10" s="4" t="s">
        <v>31</v>
      </c>
      <c r="O10" s="4" t="s">
        <v>31</v>
      </c>
      <c r="P10" s="4" t="s">
        <v>31</v>
      </c>
      <c r="Q10" s="4" t="s">
        <v>31</v>
      </c>
      <c r="R10" s="4" t="s">
        <v>31</v>
      </c>
      <c r="S10" s="4" t="s">
        <v>31</v>
      </c>
      <c r="T10" s="4" t="s">
        <v>31</v>
      </c>
      <c r="U10" s="4" t="s">
        <v>31</v>
      </c>
    </row>
    <row r="11" spans="1:24" s="4" customFormat="1" x14ac:dyDescent="0.2">
      <c r="A11" t="s">
        <v>50</v>
      </c>
      <c r="B11" s="4" t="s">
        <v>51</v>
      </c>
      <c r="C11" s="4" t="s">
        <v>26</v>
      </c>
      <c r="D11" s="3" t="s">
        <v>27</v>
      </c>
      <c r="E11" s="22" t="s">
        <v>28</v>
      </c>
      <c r="F11" s="4" t="s">
        <v>42</v>
      </c>
      <c r="G11" s="5">
        <f>COUNTIFS(TableFA21324[Project],TableFA21324[[#This Row],[Project]],TableFA21324[Program],TableFA21324[[#This Row],[Program]])</f>
        <v>5</v>
      </c>
      <c r="H11" s="5">
        <f>COUNTIFS(TableFA21324[Project],TableFA21324[[#This Row],[Project]])</f>
        <v>5</v>
      </c>
      <c r="K11" s="4" t="s">
        <v>31</v>
      </c>
      <c r="L11" s="4" t="s">
        <v>31</v>
      </c>
      <c r="M11" s="4" t="s">
        <v>31</v>
      </c>
      <c r="N11" s="4" t="s">
        <v>31</v>
      </c>
      <c r="O11" s="4" t="s">
        <v>31</v>
      </c>
      <c r="P11" s="4" t="s">
        <v>31</v>
      </c>
      <c r="Q11" s="4" t="s">
        <v>31</v>
      </c>
      <c r="R11" s="4" t="s">
        <v>31</v>
      </c>
      <c r="S11" s="4" t="s">
        <v>31</v>
      </c>
      <c r="T11" s="4" t="s">
        <v>31</v>
      </c>
      <c r="U11" s="4" t="s">
        <v>31</v>
      </c>
    </row>
    <row r="12" spans="1:24" s="4" customFormat="1" x14ac:dyDescent="0.2">
      <c r="A12" t="s">
        <v>52</v>
      </c>
      <c r="B12" s="21" t="s">
        <v>53</v>
      </c>
      <c r="C12" s="21" t="s">
        <v>26</v>
      </c>
      <c r="D12" s="21" t="s">
        <v>54</v>
      </c>
      <c r="E12" s="22" t="s">
        <v>28</v>
      </c>
      <c r="F12" s="21" t="s">
        <v>55</v>
      </c>
      <c r="G12" s="5">
        <f>COUNTIFS(TableFA21324[Project],TableFA21324[[#This Row],[Project]],TableFA21324[Program],TableFA21324[[#This Row],[Program]])</f>
        <v>5</v>
      </c>
      <c r="H12" s="5">
        <f>COUNTIFS(TableFA21324[Project],TableFA21324[[#This Row],[Project]])</f>
        <v>5</v>
      </c>
      <c r="I12" s="23" t="s">
        <v>30</v>
      </c>
      <c r="J12" s="22"/>
      <c r="K12" s="5" t="s">
        <v>31</v>
      </c>
      <c r="L12" s="5" t="s">
        <v>31</v>
      </c>
      <c r="M12" s="22" t="s">
        <v>31</v>
      </c>
      <c r="N12" s="22"/>
      <c r="O12" s="22"/>
      <c r="P12" s="22"/>
      <c r="Q12" s="22"/>
      <c r="R12" s="22"/>
      <c r="S12" s="22"/>
      <c r="T12" s="22"/>
      <c r="U12" s="22"/>
      <c r="V12" s="22"/>
      <c r="W12" s="22"/>
      <c r="X12" s="22"/>
    </row>
    <row r="13" spans="1:24" s="4" customFormat="1" x14ac:dyDescent="0.2">
      <c r="A13" t="s">
        <v>56</v>
      </c>
      <c r="B13" t="s">
        <v>57</v>
      </c>
      <c r="C13" t="s">
        <v>26</v>
      </c>
      <c r="D13" t="s">
        <v>54</v>
      </c>
      <c r="E13" s="22" t="s">
        <v>28</v>
      </c>
      <c r="F13" s="4" t="s">
        <v>55</v>
      </c>
      <c r="G13" s="5">
        <f>COUNTIFS(TableFA21324[Project],TableFA21324[[#This Row],[Project]],TableFA21324[Program],TableFA21324[[#This Row],[Program]])</f>
        <v>5</v>
      </c>
      <c r="H13" s="5">
        <f>COUNTIFS(TableFA21324[Project],TableFA21324[[#This Row],[Project]])</f>
        <v>5</v>
      </c>
      <c r="K13" s="4" t="s">
        <v>31</v>
      </c>
      <c r="L13" s="4" t="s">
        <v>31</v>
      </c>
      <c r="M13" s="22" t="s">
        <v>31</v>
      </c>
    </row>
    <row r="14" spans="1:24" s="4" customFormat="1" x14ac:dyDescent="0.2">
      <c r="A14" t="s">
        <v>58</v>
      </c>
      <c r="B14" t="s">
        <v>59</v>
      </c>
      <c r="C14" t="s">
        <v>26</v>
      </c>
      <c r="D14" t="s">
        <v>27</v>
      </c>
      <c r="E14" s="22" t="s">
        <v>28</v>
      </c>
      <c r="F14" s="4" t="s">
        <v>55</v>
      </c>
      <c r="G14" s="5">
        <f>COUNTIFS(TableFA21324[Project],TableFA21324[[#This Row],[Project]],TableFA21324[Program],TableFA21324[[#This Row],[Program]])</f>
        <v>5</v>
      </c>
      <c r="H14" s="5">
        <f>COUNTIFS(TableFA21324[Project],TableFA21324[[#This Row],[Project]])</f>
        <v>5</v>
      </c>
      <c r="K14" s="4" t="s">
        <v>31</v>
      </c>
      <c r="L14" s="4" t="s">
        <v>31</v>
      </c>
      <c r="M14" s="22" t="s">
        <v>31</v>
      </c>
    </row>
    <row r="15" spans="1:24" s="4" customFormat="1" x14ac:dyDescent="0.2">
      <c r="A15" t="s">
        <v>60</v>
      </c>
      <c r="B15" t="s">
        <v>61</v>
      </c>
      <c r="C15" t="s">
        <v>26</v>
      </c>
      <c r="D15" t="s">
        <v>27</v>
      </c>
      <c r="E15" s="22" t="s">
        <v>28</v>
      </c>
      <c r="F15" s="4" t="s">
        <v>55</v>
      </c>
      <c r="G15" s="5">
        <f>COUNTIFS(TableFA21324[Project],TableFA21324[[#This Row],[Project]],TableFA21324[Program],TableFA21324[[#This Row],[Program]])</f>
        <v>5</v>
      </c>
      <c r="H15" s="5">
        <f>COUNTIFS(TableFA21324[Project],TableFA21324[[#This Row],[Project]])</f>
        <v>5</v>
      </c>
      <c r="K15" s="4" t="s">
        <v>31</v>
      </c>
      <c r="L15" s="4" t="s">
        <v>31</v>
      </c>
      <c r="M15" s="22" t="s">
        <v>31</v>
      </c>
    </row>
    <row r="16" spans="1:24" s="4" customFormat="1" x14ac:dyDescent="0.2">
      <c r="A16" t="s">
        <v>62</v>
      </c>
      <c r="B16" t="s">
        <v>63</v>
      </c>
      <c r="C16" t="s">
        <v>26</v>
      </c>
      <c r="D16" t="s">
        <v>27</v>
      </c>
      <c r="E16" s="22" t="s">
        <v>28</v>
      </c>
      <c r="F16" s="4" t="s">
        <v>55</v>
      </c>
      <c r="G16" s="5">
        <f>COUNTIFS(TableFA21324[Project],TableFA21324[[#This Row],[Project]],TableFA21324[Program],TableFA21324[[#This Row],[Program]])</f>
        <v>5</v>
      </c>
      <c r="H16" s="5">
        <f>COUNTIFS(TableFA21324[Project],TableFA21324[[#This Row],[Project]])</f>
        <v>5</v>
      </c>
      <c r="K16" s="4" t="s">
        <v>31</v>
      </c>
      <c r="L16" s="4" t="s">
        <v>31</v>
      </c>
      <c r="M16" s="22" t="s">
        <v>31</v>
      </c>
    </row>
    <row r="17" spans="1:24" s="4" customFormat="1" x14ac:dyDescent="0.2">
      <c r="A17" s="20" t="s">
        <v>64</v>
      </c>
      <c r="B17" s="20" t="s">
        <v>65</v>
      </c>
      <c r="C17" s="20" t="s">
        <v>26</v>
      </c>
      <c r="D17" s="20" t="s">
        <v>27</v>
      </c>
      <c r="E17" s="22" t="s">
        <v>28</v>
      </c>
      <c r="F17" s="5" t="s">
        <v>66</v>
      </c>
      <c r="G17" s="5">
        <f>COUNTIFS(TableFA21324[Project],TableFA21324[[#This Row],[Project]],TableFA21324[Program],TableFA21324[[#This Row],[Program]])</f>
        <v>5</v>
      </c>
      <c r="H17" s="5">
        <f>COUNTIFS(TableFA21324[Project],TableFA21324[[#This Row],[Project]])</f>
        <v>5</v>
      </c>
      <c r="I17" s="5" t="s">
        <v>30</v>
      </c>
      <c r="K17" s="4" t="s">
        <v>31</v>
      </c>
      <c r="L17" s="4" t="s">
        <v>31</v>
      </c>
      <c r="M17" s="4" t="s">
        <v>31</v>
      </c>
      <c r="N17" s="4" t="s">
        <v>31</v>
      </c>
      <c r="O17" s="4" t="s">
        <v>31</v>
      </c>
      <c r="P17" s="4" t="s">
        <v>31</v>
      </c>
      <c r="Q17" s="4" t="s">
        <v>31</v>
      </c>
      <c r="R17" s="4" t="s">
        <v>31</v>
      </c>
      <c r="S17" s="4" t="s">
        <v>31</v>
      </c>
      <c r="T17" s="4" t="s">
        <v>31</v>
      </c>
      <c r="U17" s="4" t="s">
        <v>31</v>
      </c>
      <c r="V17" s="4" t="s">
        <v>31</v>
      </c>
      <c r="W17" s="4" t="s">
        <v>31</v>
      </c>
      <c r="X17" s="4" t="s">
        <v>31</v>
      </c>
    </row>
    <row r="18" spans="1:24" s="4" customFormat="1" x14ac:dyDescent="0.2">
      <c r="A18" t="s">
        <v>67</v>
      </c>
      <c r="B18" t="s">
        <v>68</v>
      </c>
      <c r="C18" t="s">
        <v>26</v>
      </c>
      <c r="D18" t="s">
        <v>27</v>
      </c>
      <c r="E18" s="22" t="s">
        <v>28</v>
      </c>
      <c r="F18" s="4" t="s">
        <v>66</v>
      </c>
      <c r="G18" s="5">
        <f>COUNTIFS(TableFA21324[Project],TableFA21324[[#This Row],[Project]],TableFA21324[Program],TableFA21324[[#This Row],[Program]])</f>
        <v>5</v>
      </c>
      <c r="H18" s="5">
        <f>COUNTIFS(TableFA21324[Project],TableFA21324[[#This Row],[Project]])</f>
        <v>5</v>
      </c>
      <c r="K18" s="4" t="s">
        <v>31</v>
      </c>
      <c r="L18" s="4" t="s">
        <v>31</v>
      </c>
      <c r="M18" s="4" t="s">
        <v>31</v>
      </c>
      <c r="N18" s="4" t="s">
        <v>31</v>
      </c>
      <c r="O18" s="4" t="s">
        <v>31</v>
      </c>
      <c r="P18" s="4" t="s">
        <v>31</v>
      </c>
      <c r="Q18" s="4" t="s">
        <v>31</v>
      </c>
      <c r="R18" s="4" t="s">
        <v>31</v>
      </c>
      <c r="S18" s="4" t="s">
        <v>31</v>
      </c>
      <c r="T18" s="4" t="s">
        <v>31</v>
      </c>
      <c r="U18" s="4" t="s">
        <v>31</v>
      </c>
      <c r="V18" s="4" t="s">
        <v>31</v>
      </c>
      <c r="W18" s="4" t="s">
        <v>31</v>
      </c>
      <c r="X18" s="4" t="s">
        <v>31</v>
      </c>
    </row>
    <row r="19" spans="1:24" s="4" customFormat="1" ht="15.75" customHeight="1" x14ac:dyDescent="0.2">
      <c r="A19" t="s">
        <v>69</v>
      </c>
      <c r="B19" t="s">
        <v>70</v>
      </c>
      <c r="C19" t="s">
        <v>26</v>
      </c>
      <c r="D19" t="s">
        <v>27</v>
      </c>
      <c r="E19" s="22" t="s">
        <v>28</v>
      </c>
      <c r="F19" s="4" t="s">
        <v>66</v>
      </c>
      <c r="G19" s="5">
        <f>COUNTIFS(TableFA21324[Project],TableFA21324[[#This Row],[Project]],TableFA21324[Program],TableFA21324[[#This Row],[Program]])</f>
        <v>5</v>
      </c>
      <c r="H19" s="5">
        <f>COUNTIFS(TableFA21324[Project],TableFA21324[[#This Row],[Project]])</f>
        <v>5</v>
      </c>
      <c r="K19" s="4" t="s">
        <v>31</v>
      </c>
      <c r="L19" s="4" t="s">
        <v>31</v>
      </c>
      <c r="M19" s="4" t="s">
        <v>31</v>
      </c>
      <c r="N19" s="4" t="s">
        <v>31</v>
      </c>
      <c r="O19" s="4" t="s">
        <v>31</v>
      </c>
      <c r="P19" s="4" t="s">
        <v>31</v>
      </c>
      <c r="Q19" s="4" t="s">
        <v>31</v>
      </c>
      <c r="R19" s="4" t="s">
        <v>31</v>
      </c>
      <c r="S19" s="4" t="s">
        <v>31</v>
      </c>
      <c r="T19" s="4" t="s">
        <v>31</v>
      </c>
      <c r="U19" s="4" t="s">
        <v>31</v>
      </c>
      <c r="V19" s="4" t="s">
        <v>31</v>
      </c>
      <c r="W19" s="4" t="s">
        <v>31</v>
      </c>
      <c r="X19" s="4" t="s">
        <v>31</v>
      </c>
    </row>
    <row r="20" spans="1:24" s="4" customFormat="1" x14ac:dyDescent="0.2">
      <c r="A20" t="s">
        <v>71</v>
      </c>
      <c r="B20" t="s">
        <v>72</v>
      </c>
      <c r="C20" t="s">
        <v>26</v>
      </c>
      <c r="D20" t="s">
        <v>27</v>
      </c>
      <c r="E20" s="22" t="s">
        <v>28</v>
      </c>
      <c r="F20" s="4" t="s">
        <v>66</v>
      </c>
      <c r="G20" s="5">
        <f>COUNTIFS(TableFA21324[Project],TableFA21324[[#This Row],[Project]],TableFA21324[Program],TableFA21324[[#This Row],[Program]])</f>
        <v>5</v>
      </c>
      <c r="H20" s="5">
        <f>COUNTIFS(TableFA21324[Project],TableFA21324[[#This Row],[Project]])</f>
        <v>5</v>
      </c>
      <c r="K20" s="4" t="s">
        <v>31</v>
      </c>
      <c r="L20" s="4" t="s">
        <v>31</v>
      </c>
      <c r="M20" s="4" t="s">
        <v>31</v>
      </c>
      <c r="N20" s="4" t="s">
        <v>31</v>
      </c>
      <c r="O20" s="4" t="s">
        <v>31</v>
      </c>
      <c r="P20" s="4" t="s">
        <v>31</v>
      </c>
      <c r="Q20" s="4" t="s">
        <v>31</v>
      </c>
      <c r="R20" s="4" t="s">
        <v>31</v>
      </c>
      <c r="S20" s="4" t="s">
        <v>31</v>
      </c>
      <c r="T20" s="4" t="s">
        <v>31</v>
      </c>
      <c r="U20" s="4" t="s">
        <v>31</v>
      </c>
      <c r="V20" s="4" t="s">
        <v>31</v>
      </c>
      <c r="W20" s="4" t="s">
        <v>31</v>
      </c>
      <c r="X20" s="4" t="s">
        <v>31</v>
      </c>
    </row>
    <row r="21" spans="1:24" s="4" customFormat="1" x14ac:dyDescent="0.2">
      <c r="A21" t="s">
        <v>73</v>
      </c>
      <c r="B21" t="s">
        <v>74</v>
      </c>
      <c r="C21" t="s">
        <v>26</v>
      </c>
      <c r="D21" t="s">
        <v>27</v>
      </c>
      <c r="E21" s="22" t="s">
        <v>28</v>
      </c>
      <c r="F21" s="4" t="s">
        <v>66</v>
      </c>
      <c r="G21" s="5">
        <f>COUNTIFS(TableFA21324[Project],TableFA21324[[#This Row],[Project]],TableFA21324[Program],TableFA21324[[#This Row],[Program]])</f>
        <v>5</v>
      </c>
      <c r="H21" s="5">
        <f>COUNTIFS(TableFA21324[Project],TableFA21324[[#This Row],[Project]])</f>
        <v>5</v>
      </c>
      <c r="K21" s="4" t="s">
        <v>31</v>
      </c>
      <c r="L21" s="4" t="s">
        <v>31</v>
      </c>
      <c r="M21" s="4" t="s">
        <v>31</v>
      </c>
      <c r="N21" s="4" t="s">
        <v>31</v>
      </c>
      <c r="O21" s="4" t="s">
        <v>31</v>
      </c>
      <c r="P21" s="4" t="s">
        <v>31</v>
      </c>
      <c r="Q21" s="4" t="s">
        <v>31</v>
      </c>
      <c r="R21" s="4" t="s">
        <v>31</v>
      </c>
      <c r="S21" s="4" t="s">
        <v>31</v>
      </c>
      <c r="T21" s="4" t="s">
        <v>31</v>
      </c>
      <c r="U21" s="4" t="s">
        <v>31</v>
      </c>
      <c r="V21" s="4" t="s">
        <v>31</v>
      </c>
      <c r="W21" s="4" t="s">
        <v>31</v>
      </c>
      <c r="X21" s="4" t="s">
        <v>31</v>
      </c>
    </row>
    <row r="22" spans="1:24" s="4" customFormat="1" x14ac:dyDescent="0.2">
      <c r="A22" s="20" t="s">
        <v>75</v>
      </c>
      <c r="B22" s="20" t="s">
        <v>76</v>
      </c>
      <c r="C22" s="20" t="s">
        <v>26</v>
      </c>
      <c r="D22" s="20" t="s">
        <v>27</v>
      </c>
      <c r="E22" s="22" t="s">
        <v>28</v>
      </c>
      <c r="F22" s="20" t="s">
        <v>77</v>
      </c>
      <c r="G22" s="5">
        <f>COUNTIFS(TableFA21324[Project],TableFA21324[[#This Row],[Project]],TableFA21324[Program],TableFA21324[[#This Row],[Program]])</f>
        <v>5</v>
      </c>
      <c r="H22" s="5">
        <f>COUNTIFS(TableFA21324[Project],TableFA21324[[#This Row],[Project]])</f>
        <v>5</v>
      </c>
      <c r="I22" s="5" t="s">
        <v>30</v>
      </c>
      <c r="J22" s="5"/>
      <c r="K22" s="5" t="s">
        <v>31</v>
      </c>
      <c r="L22" s="5" t="s">
        <v>31</v>
      </c>
      <c r="M22" s="5" t="s">
        <v>31</v>
      </c>
      <c r="N22" s="5" t="s">
        <v>31</v>
      </c>
      <c r="O22" s="5" t="s">
        <v>31</v>
      </c>
      <c r="P22" s="5" t="s">
        <v>31</v>
      </c>
      <c r="Q22" s="5" t="s">
        <v>31</v>
      </c>
      <c r="R22" s="5" t="s">
        <v>31</v>
      </c>
      <c r="S22" s="5" t="s">
        <v>31</v>
      </c>
      <c r="T22" s="5" t="s">
        <v>31</v>
      </c>
      <c r="U22" s="5" t="s">
        <v>31</v>
      </c>
      <c r="V22" s="5" t="s">
        <v>31</v>
      </c>
      <c r="W22" s="5" t="s">
        <v>31</v>
      </c>
      <c r="X22" s="5" t="s">
        <v>31</v>
      </c>
    </row>
    <row r="23" spans="1:24" s="4" customFormat="1" x14ac:dyDescent="0.2">
      <c r="A23" t="s">
        <v>78</v>
      </c>
      <c r="B23" t="s">
        <v>79</v>
      </c>
      <c r="C23" t="s">
        <v>26</v>
      </c>
      <c r="D23" t="s">
        <v>27</v>
      </c>
      <c r="E23" s="22" t="s">
        <v>28</v>
      </c>
      <c r="F23" t="s">
        <v>77</v>
      </c>
      <c r="G23" s="5">
        <f>COUNTIFS(TableFA21324[Project],TableFA21324[[#This Row],[Project]],TableFA21324[Program],TableFA21324[[#This Row],[Program]])</f>
        <v>5</v>
      </c>
      <c r="H23" s="5">
        <f>COUNTIFS(TableFA21324[Project],TableFA21324[[#This Row],[Project]])</f>
        <v>5</v>
      </c>
      <c r="K23" s="4" t="s">
        <v>31</v>
      </c>
      <c r="L23" s="4" t="s">
        <v>31</v>
      </c>
      <c r="M23" s="4" t="s">
        <v>31</v>
      </c>
      <c r="N23" s="4" t="s">
        <v>31</v>
      </c>
      <c r="O23" s="4" t="s">
        <v>31</v>
      </c>
      <c r="P23" s="4" t="s">
        <v>31</v>
      </c>
      <c r="Q23" s="4" t="s">
        <v>31</v>
      </c>
      <c r="R23" s="4" t="s">
        <v>31</v>
      </c>
      <c r="S23" s="4" t="s">
        <v>31</v>
      </c>
      <c r="T23" s="4" t="s">
        <v>31</v>
      </c>
      <c r="U23" s="4" t="s">
        <v>31</v>
      </c>
      <c r="V23" s="4" t="s">
        <v>31</v>
      </c>
      <c r="W23" s="4" t="s">
        <v>31</v>
      </c>
      <c r="X23" s="4" t="s">
        <v>31</v>
      </c>
    </row>
    <row r="24" spans="1:24" s="4" customFormat="1" x14ac:dyDescent="0.2">
      <c r="A24" t="s">
        <v>80</v>
      </c>
      <c r="B24" t="s">
        <v>81</v>
      </c>
      <c r="C24" t="s">
        <v>26</v>
      </c>
      <c r="D24" t="s">
        <v>27</v>
      </c>
      <c r="E24" s="22" t="s">
        <v>28</v>
      </c>
      <c r="F24" t="s">
        <v>77</v>
      </c>
      <c r="G24" s="5">
        <f>COUNTIFS(TableFA21324[Project],TableFA21324[[#This Row],[Project]],TableFA21324[Program],TableFA21324[[#This Row],[Program]])</f>
        <v>5</v>
      </c>
      <c r="H24" s="5">
        <f>COUNTIFS(TableFA21324[Project],TableFA21324[[#This Row],[Project]])</f>
        <v>5</v>
      </c>
      <c r="K24" s="4" t="s">
        <v>31</v>
      </c>
      <c r="L24" s="4" t="s">
        <v>31</v>
      </c>
      <c r="M24" s="4" t="s">
        <v>31</v>
      </c>
      <c r="N24" s="4" t="s">
        <v>31</v>
      </c>
      <c r="O24" s="4" t="s">
        <v>31</v>
      </c>
      <c r="P24" s="4" t="s">
        <v>31</v>
      </c>
      <c r="Q24" s="4" t="s">
        <v>31</v>
      </c>
      <c r="R24" s="4" t="s">
        <v>31</v>
      </c>
      <c r="S24" s="4" t="s">
        <v>31</v>
      </c>
      <c r="T24" s="4" t="s">
        <v>31</v>
      </c>
      <c r="U24" s="4" t="s">
        <v>31</v>
      </c>
      <c r="V24" s="4" t="s">
        <v>31</v>
      </c>
      <c r="W24" s="4" t="s">
        <v>31</v>
      </c>
      <c r="X24" s="4" t="s">
        <v>31</v>
      </c>
    </row>
    <row r="25" spans="1:24" s="4" customFormat="1" x14ac:dyDescent="0.2">
      <c r="A25" t="s">
        <v>82</v>
      </c>
      <c r="B25" t="s">
        <v>83</v>
      </c>
      <c r="C25" t="s">
        <v>26</v>
      </c>
      <c r="D25" t="s">
        <v>27</v>
      </c>
      <c r="E25" s="22" t="s">
        <v>28</v>
      </c>
      <c r="F25" t="s">
        <v>77</v>
      </c>
      <c r="G25" s="5">
        <f>COUNTIFS(TableFA21324[Project],TableFA21324[[#This Row],[Project]],TableFA21324[Program],TableFA21324[[#This Row],[Program]])</f>
        <v>5</v>
      </c>
      <c r="H25" s="5">
        <f>COUNTIFS(TableFA21324[Project],TableFA21324[[#This Row],[Project]])</f>
        <v>5</v>
      </c>
      <c r="K25" s="4" t="s">
        <v>31</v>
      </c>
      <c r="L25" s="4" t="s">
        <v>31</v>
      </c>
      <c r="M25" s="4" t="s">
        <v>31</v>
      </c>
      <c r="N25" s="4" t="s">
        <v>31</v>
      </c>
      <c r="O25" s="4" t="s">
        <v>31</v>
      </c>
      <c r="P25" s="4" t="s">
        <v>31</v>
      </c>
      <c r="Q25" s="4" t="s">
        <v>31</v>
      </c>
      <c r="R25" s="4" t="s">
        <v>31</v>
      </c>
      <c r="S25" s="4" t="s">
        <v>31</v>
      </c>
      <c r="T25" s="4" t="s">
        <v>31</v>
      </c>
      <c r="U25" s="4" t="s">
        <v>31</v>
      </c>
      <c r="V25" s="4" t="s">
        <v>31</v>
      </c>
      <c r="W25" s="4" t="s">
        <v>31</v>
      </c>
      <c r="X25" s="4" t="s">
        <v>31</v>
      </c>
    </row>
    <row r="26" spans="1:24" s="4" customFormat="1" x14ac:dyDescent="0.2">
      <c r="A26" t="s">
        <v>84</v>
      </c>
      <c r="B26" t="s">
        <v>85</v>
      </c>
      <c r="C26" t="s">
        <v>26</v>
      </c>
      <c r="D26" t="s">
        <v>27</v>
      </c>
      <c r="E26" s="22" t="s">
        <v>28</v>
      </c>
      <c r="F26" t="s">
        <v>77</v>
      </c>
      <c r="G26" s="5">
        <f>COUNTIFS(TableFA21324[Project],TableFA21324[[#This Row],[Project]],TableFA21324[Program],TableFA21324[[#This Row],[Program]])</f>
        <v>5</v>
      </c>
      <c r="H26" s="5">
        <f>COUNTIFS(TableFA21324[Project],TableFA21324[[#This Row],[Project]])</f>
        <v>5</v>
      </c>
      <c r="K26" s="4" t="s">
        <v>31</v>
      </c>
      <c r="L26" s="4" t="s">
        <v>31</v>
      </c>
      <c r="M26" s="4" t="s">
        <v>31</v>
      </c>
      <c r="N26" s="4" t="s">
        <v>31</v>
      </c>
      <c r="O26" s="4" t="s">
        <v>31</v>
      </c>
      <c r="P26" s="4" t="s">
        <v>31</v>
      </c>
      <c r="Q26" s="4" t="s">
        <v>31</v>
      </c>
      <c r="R26" s="4" t="s">
        <v>31</v>
      </c>
      <c r="S26" s="4" t="s">
        <v>31</v>
      </c>
      <c r="T26" s="4" t="s">
        <v>31</v>
      </c>
      <c r="U26" s="4" t="s">
        <v>31</v>
      </c>
      <c r="V26" s="4" t="s">
        <v>31</v>
      </c>
      <c r="W26" s="4" t="s">
        <v>31</v>
      </c>
      <c r="X26" s="4" t="s">
        <v>31</v>
      </c>
    </row>
    <row r="27" spans="1:24" s="5" customFormat="1" x14ac:dyDescent="0.2">
      <c r="A27" s="20" t="s">
        <v>86</v>
      </c>
      <c r="B27" s="20" t="s">
        <v>87</v>
      </c>
      <c r="C27" s="20" t="s">
        <v>26</v>
      </c>
      <c r="D27" s="20" t="s">
        <v>27</v>
      </c>
      <c r="E27" s="21" t="s">
        <v>28</v>
      </c>
      <c r="F27" s="5" t="s">
        <v>88</v>
      </c>
      <c r="G27" s="5">
        <f>COUNTIFS(TableFA21324[Project],TableFA21324[[#This Row],[Project]],TableFA21324[Program],TableFA21324[[#This Row],[Program]])</f>
        <v>5</v>
      </c>
      <c r="H27" s="5">
        <f>COUNTIFS(TableFA21324[Project],TableFA21324[[#This Row],[Project]])</f>
        <v>5</v>
      </c>
      <c r="I27" s="5" t="s">
        <v>30</v>
      </c>
      <c r="K27" s="5" t="s">
        <v>31</v>
      </c>
      <c r="L27" s="5" t="s">
        <v>31</v>
      </c>
      <c r="M27" s="5" t="s">
        <v>31</v>
      </c>
      <c r="N27" s="5" t="s">
        <v>31</v>
      </c>
      <c r="O27" s="5" t="s">
        <v>31</v>
      </c>
      <c r="P27" s="5" t="s">
        <v>31</v>
      </c>
      <c r="Q27" s="5" t="s">
        <v>31</v>
      </c>
      <c r="R27" s="5" t="s">
        <v>31</v>
      </c>
      <c r="S27" s="5" t="s">
        <v>31</v>
      </c>
      <c r="T27" s="5" t="s">
        <v>31</v>
      </c>
      <c r="U27" s="5" t="s">
        <v>31</v>
      </c>
      <c r="V27" s="5" t="s">
        <v>31</v>
      </c>
      <c r="W27" s="5" t="s">
        <v>31</v>
      </c>
      <c r="X27" s="5" t="s">
        <v>31</v>
      </c>
    </row>
    <row r="28" spans="1:24" s="4" customFormat="1" x14ac:dyDescent="0.2">
      <c r="A28" t="s">
        <v>89</v>
      </c>
      <c r="B28" t="s">
        <v>90</v>
      </c>
      <c r="C28" t="s">
        <v>26</v>
      </c>
      <c r="D28" t="s">
        <v>27</v>
      </c>
      <c r="E28" s="22" t="s">
        <v>28</v>
      </c>
      <c r="F28" s="4" t="s">
        <v>88</v>
      </c>
      <c r="G28" s="5">
        <f>COUNTIFS(TableFA21324[Project],TableFA21324[[#This Row],[Project]],TableFA21324[Program],TableFA21324[[#This Row],[Program]])</f>
        <v>5</v>
      </c>
      <c r="H28" s="5">
        <f>COUNTIFS(TableFA21324[Project],TableFA21324[[#This Row],[Project]])</f>
        <v>5</v>
      </c>
      <c r="K28" s="4" t="s">
        <v>91</v>
      </c>
      <c r="L28" s="4" t="s">
        <v>91</v>
      </c>
      <c r="M28" s="4" t="s">
        <v>31</v>
      </c>
      <c r="N28" s="4" t="s">
        <v>31</v>
      </c>
      <c r="O28" s="4" t="s">
        <v>31</v>
      </c>
      <c r="P28" s="4" t="s">
        <v>31</v>
      </c>
      <c r="Q28" s="4" t="s">
        <v>31</v>
      </c>
      <c r="R28" s="4" t="s">
        <v>31</v>
      </c>
      <c r="S28" s="4" t="s">
        <v>31</v>
      </c>
      <c r="T28" s="4" t="s">
        <v>31</v>
      </c>
      <c r="U28" s="4" t="s">
        <v>31</v>
      </c>
      <c r="V28" s="4" t="s">
        <v>31</v>
      </c>
      <c r="W28" s="4" t="s">
        <v>31</v>
      </c>
      <c r="X28" s="4" t="s">
        <v>31</v>
      </c>
    </row>
    <row r="29" spans="1:24" s="4" customFormat="1" x14ac:dyDescent="0.2">
      <c r="A29" t="s">
        <v>92</v>
      </c>
      <c r="B29" t="s">
        <v>93</v>
      </c>
      <c r="C29" t="s">
        <v>26</v>
      </c>
      <c r="D29" t="s">
        <v>27</v>
      </c>
      <c r="E29" s="22" t="s">
        <v>28</v>
      </c>
      <c r="F29" s="4" t="s">
        <v>88</v>
      </c>
      <c r="G29" s="5">
        <f>COUNTIFS(TableFA21324[Project],TableFA21324[[#This Row],[Project]],TableFA21324[Program],TableFA21324[[#This Row],[Program]])</f>
        <v>5</v>
      </c>
      <c r="H29" s="5">
        <f>COUNTIFS(TableFA21324[Project],TableFA21324[[#This Row],[Project]])</f>
        <v>5</v>
      </c>
      <c r="K29" s="4" t="s">
        <v>31</v>
      </c>
      <c r="L29" s="4" t="s">
        <v>31</v>
      </c>
      <c r="M29" s="4" t="s">
        <v>31</v>
      </c>
      <c r="N29" s="4" t="s">
        <v>31</v>
      </c>
      <c r="O29" s="4" t="s">
        <v>31</v>
      </c>
      <c r="P29" s="4" t="s">
        <v>31</v>
      </c>
      <c r="Q29" s="4" t="s">
        <v>31</v>
      </c>
      <c r="R29" s="4" t="s">
        <v>31</v>
      </c>
      <c r="S29" s="4" t="s">
        <v>31</v>
      </c>
      <c r="T29" s="4" t="s">
        <v>31</v>
      </c>
      <c r="U29" s="4" t="s">
        <v>31</v>
      </c>
      <c r="V29" s="4" t="s">
        <v>31</v>
      </c>
      <c r="W29" s="4" t="s">
        <v>31</v>
      </c>
      <c r="X29" s="4" t="s">
        <v>31</v>
      </c>
    </row>
    <row r="30" spans="1:24" s="4" customFormat="1" x14ac:dyDescent="0.2">
      <c r="A30" t="s">
        <v>94</v>
      </c>
      <c r="B30" t="s">
        <v>95</v>
      </c>
      <c r="C30" t="s">
        <v>26</v>
      </c>
      <c r="D30" t="s">
        <v>27</v>
      </c>
      <c r="E30" s="22" t="s">
        <v>28</v>
      </c>
      <c r="F30" s="4" t="s">
        <v>88</v>
      </c>
      <c r="G30" s="5">
        <f>COUNTIFS(TableFA21324[Project],TableFA21324[[#This Row],[Project]],TableFA21324[Program],TableFA21324[[#This Row],[Program]])</f>
        <v>5</v>
      </c>
      <c r="H30" s="5">
        <f>COUNTIFS(TableFA21324[Project],TableFA21324[[#This Row],[Project]])</f>
        <v>5</v>
      </c>
      <c r="K30" s="4" t="s">
        <v>31</v>
      </c>
      <c r="L30" s="4" t="s">
        <v>31</v>
      </c>
      <c r="M30" s="4" t="s">
        <v>31</v>
      </c>
      <c r="N30" s="4" t="s">
        <v>31</v>
      </c>
      <c r="O30" s="4" t="s">
        <v>31</v>
      </c>
      <c r="P30" s="4" t="s">
        <v>31</v>
      </c>
      <c r="Q30" s="4" t="s">
        <v>31</v>
      </c>
      <c r="R30" s="4" t="s">
        <v>31</v>
      </c>
      <c r="S30" s="4" t="s">
        <v>31</v>
      </c>
      <c r="T30" s="4" t="s">
        <v>31</v>
      </c>
      <c r="U30" s="4" t="s">
        <v>31</v>
      </c>
      <c r="V30" s="4" t="s">
        <v>31</v>
      </c>
      <c r="W30" s="4" t="s">
        <v>31</v>
      </c>
      <c r="X30" s="4" t="s">
        <v>31</v>
      </c>
    </row>
    <row r="31" spans="1:24" s="4" customFormat="1" x14ac:dyDescent="0.2">
      <c r="A31" t="s">
        <v>96</v>
      </c>
      <c r="B31" t="s">
        <v>97</v>
      </c>
      <c r="C31" t="s">
        <v>26</v>
      </c>
      <c r="D31" t="s">
        <v>27</v>
      </c>
      <c r="E31" s="22" t="s">
        <v>28</v>
      </c>
      <c r="F31" s="4" t="s">
        <v>88</v>
      </c>
      <c r="G31" s="5">
        <f>COUNTIFS(TableFA21324[Project],TableFA21324[[#This Row],[Project]],TableFA21324[Program],TableFA21324[[#This Row],[Program]])</f>
        <v>5</v>
      </c>
      <c r="H31" s="5">
        <f>COUNTIFS(TableFA21324[Project],TableFA21324[[#This Row],[Project]])</f>
        <v>5</v>
      </c>
      <c r="K31" s="4" t="s">
        <v>31</v>
      </c>
      <c r="L31" s="4" t="s">
        <v>31</v>
      </c>
      <c r="M31" s="4" t="s">
        <v>31</v>
      </c>
      <c r="N31" s="4" t="s">
        <v>31</v>
      </c>
      <c r="O31" s="4" t="s">
        <v>31</v>
      </c>
      <c r="P31" s="4" t="s">
        <v>31</v>
      </c>
      <c r="Q31" s="4" t="s">
        <v>31</v>
      </c>
      <c r="R31" s="4" t="s">
        <v>31</v>
      </c>
      <c r="S31" s="4" t="s">
        <v>31</v>
      </c>
      <c r="T31" s="4" t="s">
        <v>31</v>
      </c>
      <c r="U31" s="4" t="s">
        <v>31</v>
      </c>
      <c r="V31" s="4" t="s">
        <v>31</v>
      </c>
      <c r="W31" s="4" t="s">
        <v>31</v>
      </c>
      <c r="X31" s="4" t="s">
        <v>31</v>
      </c>
    </row>
    <row r="32" spans="1:24" s="4" customFormat="1" ht="16.5" customHeight="1" x14ac:dyDescent="0.2">
      <c r="A32" s="20" t="s">
        <v>98</v>
      </c>
      <c r="B32" s="20" t="s">
        <v>99</v>
      </c>
      <c r="C32" s="20" t="s">
        <v>26</v>
      </c>
      <c r="D32" s="20" t="s">
        <v>27</v>
      </c>
      <c r="E32" s="22" t="s">
        <v>28</v>
      </c>
      <c r="F32" s="5" t="s">
        <v>100</v>
      </c>
      <c r="G32" s="5">
        <f>COUNTIFS(TableFA21324[Project],TableFA21324[[#This Row],[Project]],TableFA21324[Program],TableFA21324[[#This Row],[Program]])</f>
        <v>5</v>
      </c>
      <c r="H32" s="5">
        <f>COUNTIFS(TableFA21324[Project],TableFA21324[[#This Row],[Project]])</f>
        <v>5</v>
      </c>
      <c r="I32" s="5" t="s">
        <v>30</v>
      </c>
      <c r="J32" s="5"/>
      <c r="K32" s="5" t="s">
        <v>31</v>
      </c>
      <c r="L32" s="5" t="s">
        <v>31</v>
      </c>
      <c r="M32" s="5" t="s">
        <v>31</v>
      </c>
      <c r="N32" s="5" t="s">
        <v>31</v>
      </c>
      <c r="O32" s="5" t="s">
        <v>31</v>
      </c>
      <c r="P32" s="5" t="s">
        <v>31</v>
      </c>
      <c r="Q32" s="5" t="s">
        <v>31</v>
      </c>
      <c r="R32" s="5" t="s">
        <v>31</v>
      </c>
      <c r="S32" s="5" t="s">
        <v>31</v>
      </c>
      <c r="T32" s="5" t="s">
        <v>31</v>
      </c>
      <c r="U32" s="5"/>
      <c r="V32" s="5"/>
      <c r="W32" s="5"/>
      <c r="X32" s="5"/>
    </row>
    <row r="33" spans="1:24" s="4" customFormat="1" x14ac:dyDescent="0.2">
      <c r="A33" t="s">
        <v>101</v>
      </c>
      <c r="B33" t="s">
        <v>102</v>
      </c>
      <c r="C33" t="s">
        <v>26</v>
      </c>
      <c r="D33" t="s">
        <v>27</v>
      </c>
      <c r="E33" s="22" t="s">
        <v>28</v>
      </c>
      <c r="F33" s="4" t="s">
        <v>100</v>
      </c>
      <c r="G33" s="5">
        <f>COUNTIFS(TableFA21324[Project],TableFA21324[[#This Row],[Project]],TableFA21324[Program],TableFA21324[[#This Row],[Program]])</f>
        <v>5</v>
      </c>
      <c r="H33" s="5">
        <f>COUNTIFS(TableFA21324[Project],TableFA21324[[#This Row],[Project]])</f>
        <v>5</v>
      </c>
      <c r="K33" s="4" t="s">
        <v>31</v>
      </c>
      <c r="L33" s="4" t="s">
        <v>31</v>
      </c>
      <c r="M33" s="4" t="s">
        <v>31</v>
      </c>
      <c r="N33" s="4" t="s">
        <v>31</v>
      </c>
      <c r="O33" s="4" t="s">
        <v>31</v>
      </c>
      <c r="P33" s="4" t="s">
        <v>31</v>
      </c>
      <c r="Q33" s="4" t="s">
        <v>31</v>
      </c>
      <c r="R33" s="4" t="s">
        <v>31</v>
      </c>
      <c r="S33" s="4" t="s">
        <v>31</v>
      </c>
      <c r="T33" s="4" t="s">
        <v>31</v>
      </c>
    </row>
    <row r="34" spans="1:24" s="4" customFormat="1" x14ac:dyDescent="0.2">
      <c r="A34" t="s">
        <v>103</v>
      </c>
      <c r="B34" t="s">
        <v>104</v>
      </c>
      <c r="C34" t="s">
        <v>26</v>
      </c>
      <c r="D34" t="s">
        <v>27</v>
      </c>
      <c r="E34" s="22" t="s">
        <v>28</v>
      </c>
      <c r="F34" s="4" t="s">
        <v>100</v>
      </c>
      <c r="G34" s="5">
        <f>COUNTIFS(TableFA21324[Project],TableFA21324[[#This Row],[Project]],TableFA21324[Program],TableFA21324[[#This Row],[Program]])</f>
        <v>5</v>
      </c>
      <c r="H34" s="5">
        <f>COUNTIFS(TableFA21324[Project],TableFA21324[[#This Row],[Project]])</f>
        <v>5</v>
      </c>
      <c r="K34" s="4" t="s">
        <v>31</v>
      </c>
      <c r="L34" s="4" t="s">
        <v>31</v>
      </c>
      <c r="M34" s="4" t="s">
        <v>31</v>
      </c>
      <c r="N34" s="4" t="s">
        <v>31</v>
      </c>
      <c r="O34" s="4" t="s">
        <v>31</v>
      </c>
      <c r="P34" s="4" t="s">
        <v>31</v>
      </c>
      <c r="Q34" s="4" t="s">
        <v>31</v>
      </c>
      <c r="R34" s="4" t="s">
        <v>31</v>
      </c>
      <c r="S34" s="4" t="s">
        <v>31</v>
      </c>
    </row>
    <row r="35" spans="1:24" s="4" customFormat="1" x14ac:dyDescent="0.2">
      <c r="A35" t="s">
        <v>105</v>
      </c>
      <c r="B35" t="s">
        <v>106</v>
      </c>
      <c r="C35" t="s">
        <v>26</v>
      </c>
      <c r="D35" t="s">
        <v>27</v>
      </c>
      <c r="E35" s="22" t="s">
        <v>28</v>
      </c>
      <c r="F35" s="4" t="s">
        <v>100</v>
      </c>
      <c r="G35" s="5">
        <f>COUNTIFS(TableFA21324[Project],TableFA21324[[#This Row],[Project]],TableFA21324[Program],TableFA21324[[#This Row],[Program]])</f>
        <v>5</v>
      </c>
      <c r="H35" s="5">
        <f>COUNTIFS(TableFA21324[Project],TableFA21324[[#This Row],[Project]])</f>
        <v>5</v>
      </c>
      <c r="K35" s="4" t="s">
        <v>31</v>
      </c>
      <c r="L35" s="4" t="s">
        <v>31</v>
      </c>
      <c r="M35" s="4" t="s">
        <v>31</v>
      </c>
      <c r="N35" s="4" t="s">
        <v>31</v>
      </c>
      <c r="O35" s="4" t="s">
        <v>31</v>
      </c>
      <c r="P35" s="4" t="s">
        <v>31</v>
      </c>
      <c r="Q35" s="4" t="s">
        <v>31</v>
      </c>
      <c r="R35" s="4" t="s">
        <v>31</v>
      </c>
      <c r="S35" s="4" t="s">
        <v>31</v>
      </c>
    </row>
    <row r="36" spans="1:24" s="4" customFormat="1" x14ac:dyDescent="0.2">
      <c r="A36" t="s">
        <v>107</v>
      </c>
      <c r="B36" t="s">
        <v>108</v>
      </c>
      <c r="C36" t="s">
        <v>26</v>
      </c>
      <c r="D36" t="s">
        <v>27</v>
      </c>
      <c r="E36" s="22" t="s">
        <v>28</v>
      </c>
      <c r="F36" s="4" t="s">
        <v>100</v>
      </c>
      <c r="G36" s="5">
        <f>COUNTIFS(TableFA21324[Project],TableFA21324[[#This Row],[Project]],TableFA21324[Program],TableFA21324[[#This Row],[Program]])</f>
        <v>5</v>
      </c>
      <c r="H36" s="5">
        <f>COUNTIFS(TableFA21324[Project],TableFA21324[[#This Row],[Project]])</f>
        <v>5</v>
      </c>
      <c r="K36" s="4" t="s">
        <v>31</v>
      </c>
      <c r="L36" s="4" t="s">
        <v>31</v>
      </c>
      <c r="M36" s="4" t="s">
        <v>31</v>
      </c>
      <c r="N36" s="4" t="s">
        <v>31</v>
      </c>
      <c r="O36" s="4" t="s">
        <v>31</v>
      </c>
      <c r="P36" s="4" t="s">
        <v>31</v>
      </c>
      <c r="Q36" s="4" t="s">
        <v>31</v>
      </c>
      <c r="R36" s="4" t="s">
        <v>31</v>
      </c>
      <c r="S36" s="4" t="s">
        <v>31</v>
      </c>
    </row>
    <row r="37" spans="1:24" s="4" customFormat="1" x14ac:dyDescent="0.2">
      <c r="A37" s="20" t="s">
        <v>109</v>
      </c>
      <c r="B37" s="20" t="s">
        <v>110</v>
      </c>
      <c r="C37" s="20" t="s">
        <v>26</v>
      </c>
      <c r="D37" s="20" t="s">
        <v>27</v>
      </c>
      <c r="E37" s="22" t="s">
        <v>28</v>
      </c>
      <c r="F37" s="5" t="s">
        <v>111</v>
      </c>
      <c r="G37" s="5">
        <f>COUNTIFS(TableFA21324[Project],TableFA21324[[#This Row],[Project]],TableFA21324[Program],TableFA21324[[#This Row],[Program]])</f>
        <v>5</v>
      </c>
      <c r="H37" s="5">
        <f>COUNTIFS(TableFA21324[Project],TableFA21324[[#This Row],[Project]])</f>
        <v>5</v>
      </c>
      <c r="I37" s="5" t="s">
        <v>30</v>
      </c>
      <c r="J37" s="5"/>
      <c r="K37" s="4" t="s">
        <v>31</v>
      </c>
      <c r="L37" s="4" t="s">
        <v>31</v>
      </c>
      <c r="M37" s="4" t="s">
        <v>31</v>
      </c>
      <c r="N37" s="4" t="s">
        <v>31</v>
      </c>
      <c r="O37" s="5" t="s">
        <v>31</v>
      </c>
      <c r="P37" s="5" t="s">
        <v>31</v>
      </c>
      <c r="Q37" s="5" t="s">
        <v>31</v>
      </c>
      <c r="R37" s="5" t="s">
        <v>31</v>
      </c>
      <c r="S37" s="5" t="s">
        <v>31</v>
      </c>
      <c r="T37" s="5" t="s">
        <v>31</v>
      </c>
      <c r="U37" s="5" t="s">
        <v>31</v>
      </c>
      <c r="V37" s="5" t="s">
        <v>31</v>
      </c>
      <c r="W37" s="5" t="s">
        <v>31</v>
      </c>
      <c r="X37" s="5" t="s">
        <v>31</v>
      </c>
    </row>
    <row r="38" spans="1:24" s="4" customFormat="1" x14ac:dyDescent="0.2">
      <c r="A38" t="s">
        <v>112</v>
      </c>
      <c r="B38" t="s">
        <v>113</v>
      </c>
      <c r="C38" t="s">
        <v>26</v>
      </c>
      <c r="D38" t="s">
        <v>27</v>
      </c>
      <c r="E38" s="22" t="s">
        <v>28</v>
      </c>
      <c r="F38" s="5" t="s">
        <v>111</v>
      </c>
      <c r="G38" s="5">
        <f>COUNTIFS(TableFA21324[Project],TableFA21324[[#This Row],[Project]],TableFA21324[Program],TableFA21324[[#This Row],[Program]])</f>
        <v>5</v>
      </c>
      <c r="H38" s="5">
        <f>COUNTIFS(TableFA21324[Project],TableFA21324[[#This Row],[Project]])</f>
        <v>5</v>
      </c>
      <c r="K38" s="4" t="s">
        <v>31</v>
      </c>
      <c r="L38" s="4" t="s">
        <v>31</v>
      </c>
      <c r="M38" s="4" t="s">
        <v>31</v>
      </c>
      <c r="N38" s="4" t="s">
        <v>31</v>
      </c>
      <c r="O38" s="5" t="s">
        <v>31</v>
      </c>
      <c r="P38" s="5" t="s">
        <v>31</v>
      </c>
      <c r="Q38" s="5" t="s">
        <v>31</v>
      </c>
      <c r="R38" s="5" t="s">
        <v>31</v>
      </c>
      <c r="S38" s="5" t="s">
        <v>31</v>
      </c>
      <c r="T38" s="5" t="s">
        <v>31</v>
      </c>
      <c r="U38" s="5" t="s">
        <v>31</v>
      </c>
      <c r="V38" s="5" t="s">
        <v>31</v>
      </c>
      <c r="W38" s="5" t="s">
        <v>31</v>
      </c>
      <c r="X38" s="5" t="s">
        <v>31</v>
      </c>
    </row>
    <row r="39" spans="1:24" s="4" customFormat="1" x14ac:dyDescent="0.2">
      <c r="A39" t="s">
        <v>114</v>
      </c>
      <c r="B39" t="s">
        <v>115</v>
      </c>
      <c r="C39" t="s">
        <v>26</v>
      </c>
      <c r="D39" t="s">
        <v>27</v>
      </c>
      <c r="E39" s="22" t="s">
        <v>28</v>
      </c>
      <c r="F39" s="5" t="s">
        <v>111</v>
      </c>
      <c r="G39" s="5">
        <f>COUNTIFS(TableFA21324[Project],TableFA21324[[#This Row],[Project]],TableFA21324[Program],TableFA21324[[#This Row],[Program]])</f>
        <v>5</v>
      </c>
      <c r="H39" s="5">
        <f>COUNTIFS(TableFA21324[Project],TableFA21324[[#This Row],[Project]])</f>
        <v>5</v>
      </c>
      <c r="K39" s="4" t="s">
        <v>31</v>
      </c>
      <c r="L39" s="4" t="s">
        <v>31</v>
      </c>
      <c r="M39" s="4" t="s">
        <v>31</v>
      </c>
      <c r="N39" s="4" t="s">
        <v>31</v>
      </c>
      <c r="O39" s="5" t="s">
        <v>31</v>
      </c>
      <c r="P39" s="5" t="s">
        <v>31</v>
      </c>
      <c r="Q39" s="5" t="s">
        <v>31</v>
      </c>
      <c r="R39" s="5" t="s">
        <v>31</v>
      </c>
      <c r="S39" s="5" t="s">
        <v>31</v>
      </c>
      <c r="T39" s="5" t="s">
        <v>31</v>
      </c>
      <c r="U39" s="5" t="s">
        <v>31</v>
      </c>
      <c r="V39" s="5" t="s">
        <v>31</v>
      </c>
      <c r="W39" s="5" t="s">
        <v>31</v>
      </c>
      <c r="X39" s="5" t="s">
        <v>31</v>
      </c>
    </row>
    <row r="40" spans="1:24" s="4" customFormat="1" x14ac:dyDescent="0.2">
      <c r="A40" t="s">
        <v>116</v>
      </c>
      <c r="B40" t="s">
        <v>117</v>
      </c>
      <c r="C40" t="s">
        <v>26</v>
      </c>
      <c r="D40" t="s">
        <v>27</v>
      </c>
      <c r="E40" s="22" t="s">
        <v>28</v>
      </c>
      <c r="F40" s="5" t="s">
        <v>111</v>
      </c>
      <c r="G40" s="5">
        <f>COUNTIFS(TableFA21324[Project],TableFA21324[[#This Row],[Project]],TableFA21324[Program],TableFA21324[[#This Row],[Program]])</f>
        <v>5</v>
      </c>
      <c r="H40" s="5">
        <f>COUNTIFS(TableFA21324[Project],TableFA21324[[#This Row],[Project]])</f>
        <v>5</v>
      </c>
      <c r="K40" s="4" t="s">
        <v>31</v>
      </c>
      <c r="L40" s="4" t="s">
        <v>31</v>
      </c>
      <c r="M40" s="4" t="s">
        <v>31</v>
      </c>
      <c r="N40" s="4" t="s">
        <v>31</v>
      </c>
      <c r="O40" s="5" t="s">
        <v>31</v>
      </c>
      <c r="P40" s="5" t="s">
        <v>31</v>
      </c>
      <c r="Q40" s="5" t="s">
        <v>31</v>
      </c>
      <c r="R40" s="5" t="s">
        <v>31</v>
      </c>
      <c r="S40" s="5" t="s">
        <v>31</v>
      </c>
      <c r="T40" s="5" t="s">
        <v>31</v>
      </c>
      <c r="U40" s="5" t="s">
        <v>31</v>
      </c>
      <c r="V40" s="5" t="s">
        <v>31</v>
      </c>
      <c r="W40" s="5" t="s">
        <v>31</v>
      </c>
      <c r="X40" s="5" t="s">
        <v>31</v>
      </c>
    </row>
    <row r="41" spans="1:24" s="4" customFormat="1" x14ac:dyDescent="0.2">
      <c r="A41" t="s">
        <v>118</v>
      </c>
      <c r="B41" t="s">
        <v>119</v>
      </c>
      <c r="C41" t="s">
        <v>26</v>
      </c>
      <c r="D41" t="s">
        <v>27</v>
      </c>
      <c r="E41" s="22" t="s">
        <v>28</v>
      </c>
      <c r="F41" s="5" t="s">
        <v>111</v>
      </c>
      <c r="G41" s="5">
        <f>COUNTIFS(TableFA21324[Project],TableFA21324[[#This Row],[Project]],TableFA21324[Program],TableFA21324[[#This Row],[Program]])</f>
        <v>5</v>
      </c>
      <c r="H41" s="5">
        <f>COUNTIFS(TableFA21324[Project],TableFA21324[[#This Row],[Project]])</f>
        <v>5</v>
      </c>
      <c r="K41" s="4" t="s">
        <v>31</v>
      </c>
      <c r="L41" s="4" t="s">
        <v>31</v>
      </c>
      <c r="M41" s="4" t="s">
        <v>31</v>
      </c>
      <c r="N41" s="4" t="s">
        <v>31</v>
      </c>
      <c r="O41" s="5" t="s">
        <v>31</v>
      </c>
      <c r="P41" s="5" t="s">
        <v>31</v>
      </c>
      <c r="Q41" s="5" t="s">
        <v>31</v>
      </c>
      <c r="R41" s="5" t="s">
        <v>31</v>
      </c>
      <c r="S41" s="5" t="s">
        <v>31</v>
      </c>
      <c r="T41" s="5" t="s">
        <v>31</v>
      </c>
      <c r="U41" s="5" t="s">
        <v>31</v>
      </c>
      <c r="V41" s="5" t="s">
        <v>31</v>
      </c>
      <c r="W41" s="5" t="s">
        <v>31</v>
      </c>
      <c r="X41" s="5" t="s">
        <v>31</v>
      </c>
    </row>
    <row r="42" spans="1:24" s="4" customFormat="1" x14ac:dyDescent="0.2">
      <c r="A42" t="s">
        <v>120</v>
      </c>
      <c r="B42" s="20" t="s">
        <v>121</v>
      </c>
      <c r="C42" t="s">
        <v>26</v>
      </c>
      <c r="D42" t="s">
        <v>27</v>
      </c>
      <c r="E42" s="22" t="s">
        <v>28</v>
      </c>
      <c r="F42" s="4" t="s">
        <v>122</v>
      </c>
      <c r="G42" s="5">
        <f>COUNTIFS(TableFA21324[Project],TableFA21324[[#This Row],[Project]],TableFA21324[Program],TableFA21324[[#This Row],[Program]])</f>
        <v>5</v>
      </c>
      <c r="H42" s="5">
        <f>COUNTIFS(TableFA21324[Project],TableFA21324[[#This Row],[Project]])</f>
        <v>5</v>
      </c>
      <c r="I42" s="5" t="s">
        <v>30</v>
      </c>
      <c r="K42" s="5" t="s">
        <v>31</v>
      </c>
      <c r="L42" s="5" t="s">
        <v>31</v>
      </c>
      <c r="M42" s="5" t="s">
        <v>31</v>
      </c>
      <c r="N42" s="5" t="s">
        <v>31</v>
      </c>
      <c r="O42" s="5" t="s">
        <v>31</v>
      </c>
      <c r="P42" s="5" t="s">
        <v>31</v>
      </c>
      <c r="Q42" s="5" t="s">
        <v>31</v>
      </c>
      <c r="R42" s="5" t="s">
        <v>31</v>
      </c>
      <c r="S42" s="5" t="s">
        <v>31</v>
      </c>
      <c r="T42" s="5" t="s">
        <v>31</v>
      </c>
      <c r="U42" s="5" t="s">
        <v>31</v>
      </c>
      <c r="V42" s="5" t="s">
        <v>31</v>
      </c>
      <c r="W42" s="5" t="s">
        <v>31</v>
      </c>
    </row>
    <row r="43" spans="1:24" s="4" customFormat="1" x14ac:dyDescent="0.2">
      <c r="A43" t="s">
        <v>123</v>
      </c>
      <c r="B43" t="s">
        <v>124</v>
      </c>
      <c r="C43" t="s">
        <v>26</v>
      </c>
      <c r="D43" t="s">
        <v>27</v>
      </c>
      <c r="E43" s="22" t="s">
        <v>28</v>
      </c>
      <c r="F43" s="4" t="s">
        <v>122</v>
      </c>
      <c r="G43" s="5">
        <f>COUNTIFS(TableFA21324[Project],TableFA21324[[#This Row],[Project]],TableFA21324[Program],TableFA21324[[#This Row],[Program]])</f>
        <v>5</v>
      </c>
      <c r="H43" s="5">
        <f>COUNTIFS(TableFA21324[Project],TableFA21324[[#This Row],[Project]])</f>
        <v>5</v>
      </c>
      <c r="K43" s="5" t="s">
        <v>31</v>
      </c>
      <c r="L43" s="5" t="s">
        <v>31</v>
      </c>
      <c r="M43" s="5" t="s">
        <v>31</v>
      </c>
      <c r="N43" s="5" t="s">
        <v>31</v>
      </c>
      <c r="O43" s="5" t="s">
        <v>31</v>
      </c>
      <c r="P43" s="5" t="s">
        <v>31</v>
      </c>
      <c r="Q43" s="5" t="s">
        <v>31</v>
      </c>
      <c r="R43" s="5" t="s">
        <v>31</v>
      </c>
      <c r="S43" s="5" t="s">
        <v>31</v>
      </c>
      <c r="T43" s="5" t="s">
        <v>31</v>
      </c>
      <c r="U43" s="5" t="s">
        <v>31</v>
      </c>
      <c r="V43" s="5" t="s">
        <v>31</v>
      </c>
      <c r="W43" s="5" t="s">
        <v>31</v>
      </c>
    </row>
    <row r="44" spans="1:24" s="4" customFormat="1" x14ac:dyDescent="0.2">
      <c r="A44" t="s">
        <v>125</v>
      </c>
      <c r="B44" t="s">
        <v>126</v>
      </c>
      <c r="C44" t="s">
        <v>26</v>
      </c>
      <c r="D44" t="s">
        <v>27</v>
      </c>
      <c r="E44" s="22" t="s">
        <v>28</v>
      </c>
      <c r="F44" s="4" t="s">
        <v>122</v>
      </c>
      <c r="G44" s="5">
        <f>COUNTIFS(TableFA21324[Project],TableFA21324[[#This Row],[Project]],TableFA21324[Program],TableFA21324[[#This Row],[Program]])</f>
        <v>5</v>
      </c>
      <c r="H44" s="5">
        <f>COUNTIFS(TableFA21324[Project],TableFA21324[[#This Row],[Project]])</f>
        <v>5</v>
      </c>
      <c r="K44" s="5" t="s">
        <v>31</v>
      </c>
      <c r="L44" s="5" t="s">
        <v>31</v>
      </c>
      <c r="M44" s="5" t="s">
        <v>31</v>
      </c>
      <c r="N44" s="5" t="s">
        <v>31</v>
      </c>
      <c r="O44" s="5" t="s">
        <v>31</v>
      </c>
      <c r="P44" s="5" t="s">
        <v>31</v>
      </c>
      <c r="Q44" s="5" t="s">
        <v>31</v>
      </c>
      <c r="R44" s="5" t="s">
        <v>31</v>
      </c>
      <c r="S44" s="5" t="s">
        <v>31</v>
      </c>
      <c r="T44" s="5" t="s">
        <v>31</v>
      </c>
      <c r="U44" s="5" t="s">
        <v>31</v>
      </c>
      <c r="V44" s="5" t="s">
        <v>31</v>
      </c>
      <c r="W44" s="5" t="s">
        <v>31</v>
      </c>
    </row>
    <row r="45" spans="1:24" s="4" customFormat="1" x14ac:dyDescent="0.2">
      <c r="A45" t="s">
        <v>127</v>
      </c>
      <c r="B45" s="20" t="s">
        <v>128</v>
      </c>
      <c r="C45" s="20" t="s">
        <v>26</v>
      </c>
      <c r="D45" s="20" t="s">
        <v>27</v>
      </c>
      <c r="E45" s="22" t="s">
        <v>28</v>
      </c>
      <c r="F45" s="5" t="s">
        <v>122</v>
      </c>
      <c r="G45" s="5">
        <f>COUNTIFS(TableFA21324[Project],TableFA21324[[#This Row],[Project]],TableFA21324[Program],TableFA21324[[#This Row],[Program]])</f>
        <v>5</v>
      </c>
      <c r="H45" s="5">
        <f>COUNTIFS(TableFA21324[Project],TableFA21324[[#This Row],[Project]])</f>
        <v>5</v>
      </c>
      <c r="I45" s="5"/>
      <c r="J45" s="5"/>
      <c r="K45" s="5" t="s">
        <v>31</v>
      </c>
      <c r="L45" s="5" t="s">
        <v>31</v>
      </c>
      <c r="M45" s="5" t="s">
        <v>31</v>
      </c>
      <c r="N45" s="5" t="s">
        <v>31</v>
      </c>
      <c r="O45" s="5" t="s">
        <v>31</v>
      </c>
      <c r="P45" s="5" t="s">
        <v>31</v>
      </c>
      <c r="Q45" s="5" t="s">
        <v>31</v>
      </c>
      <c r="R45" s="5" t="s">
        <v>31</v>
      </c>
      <c r="S45" s="5" t="s">
        <v>31</v>
      </c>
      <c r="T45" s="5" t="s">
        <v>31</v>
      </c>
      <c r="U45" s="5" t="s">
        <v>31</v>
      </c>
      <c r="V45" s="5" t="s">
        <v>31</v>
      </c>
      <c r="W45" s="5" t="s">
        <v>31</v>
      </c>
      <c r="X45" s="5"/>
    </row>
    <row r="46" spans="1:24" s="4" customFormat="1" x14ac:dyDescent="0.2">
      <c r="A46" t="s">
        <v>129</v>
      </c>
      <c r="B46" t="s">
        <v>130</v>
      </c>
      <c r="C46" t="s">
        <v>26</v>
      </c>
      <c r="D46" t="s">
        <v>27</v>
      </c>
      <c r="E46" s="22" t="s">
        <v>28</v>
      </c>
      <c r="F46" s="4" t="s">
        <v>122</v>
      </c>
      <c r="G46" s="5">
        <f>COUNTIFS(TableFA21324[Project],TableFA21324[[#This Row],[Project]],TableFA21324[Program],TableFA21324[[#This Row],[Program]])</f>
        <v>5</v>
      </c>
      <c r="H46" s="5">
        <f>COUNTIFS(TableFA21324[Project],TableFA21324[[#This Row],[Project]])</f>
        <v>5</v>
      </c>
      <c r="K46" s="5" t="s">
        <v>31</v>
      </c>
      <c r="L46" s="5" t="s">
        <v>31</v>
      </c>
      <c r="M46" s="5" t="s">
        <v>31</v>
      </c>
      <c r="N46" s="5" t="s">
        <v>31</v>
      </c>
      <c r="O46" s="5" t="s">
        <v>31</v>
      </c>
      <c r="P46" s="5" t="s">
        <v>31</v>
      </c>
      <c r="Q46" s="5" t="s">
        <v>31</v>
      </c>
      <c r="R46" s="5" t="s">
        <v>31</v>
      </c>
      <c r="S46" s="5" t="s">
        <v>31</v>
      </c>
      <c r="T46" s="5" t="s">
        <v>31</v>
      </c>
      <c r="U46" s="5" t="s">
        <v>31</v>
      </c>
      <c r="V46" s="5" t="s">
        <v>31</v>
      </c>
      <c r="W46" s="5" t="s">
        <v>31</v>
      </c>
    </row>
    <row r="47" spans="1:24" s="5" customFormat="1" x14ac:dyDescent="0.2">
      <c r="A47" s="20" t="s">
        <v>131</v>
      </c>
      <c r="B47" s="20" t="s">
        <v>132</v>
      </c>
      <c r="C47" s="20" t="s">
        <v>26</v>
      </c>
      <c r="D47" s="18" t="s">
        <v>54</v>
      </c>
      <c r="E47" s="21" t="s">
        <v>28</v>
      </c>
      <c r="F47" s="5" t="s">
        <v>133</v>
      </c>
      <c r="G47" s="5">
        <f>COUNTIFS(TableFA21324[Project],TableFA21324[[#This Row],[Project]],TableFA21324[Program],TableFA21324[[#This Row],[Program]])</f>
        <v>5</v>
      </c>
      <c r="H47" s="5">
        <f>COUNTIFS(TableFA21324[Project],TableFA21324[[#This Row],[Project]])</f>
        <v>5</v>
      </c>
      <c r="I47" s="5" t="s">
        <v>30</v>
      </c>
      <c r="K47" s="5" t="s">
        <v>31</v>
      </c>
      <c r="L47" s="5" t="s">
        <v>31</v>
      </c>
      <c r="M47" s="5" t="s">
        <v>31</v>
      </c>
      <c r="N47" s="5" t="s">
        <v>31</v>
      </c>
      <c r="O47" s="5" t="s">
        <v>31</v>
      </c>
      <c r="P47" s="5" t="s">
        <v>31</v>
      </c>
      <c r="Q47" s="5" t="s">
        <v>31</v>
      </c>
      <c r="R47" s="5" t="s">
        <v>31</v>
      </c>
      <c r="S47" s="5" t="s">
        <v>31</v>
      </c>
      <c r="T47" s="5" t="s">
        <v>31</v>
      </c>
      <c r="U47" s="5" t="s">
        <v>31</v>
      </c>
      <c r="V47" s="5" t="s">
        <v>31</v>
      </c>
      <c r="W47" s="5" t="s">
        <v>31</v>
      </c>
      <c r="X47" s="5" t="s">
        <v>31</v>
      </c>
    </row>
    <row r="48" spans="1:24" s="4" customFormat="1" x14ac:dyDescent="0.2">
      <c r="A48" t="s">
        <v>134</v>
      </c>
      <c r="B48" t="s">
        <v>135</v>
      </c>
      <c r="C48" t="s">
        <v>26</v>
      </c>
      <c r="D48" t="s">
        <v>27</v>
      </c>
      <c r="E48" s="22" t="s">
        <v>28</v>
      </c>
      <c r="F48" s="4" t="s">
        <v>133</v>
      </c>
      <c r="G48" s="5">
        <f>COUNTIFS(TableFA21324[Project],TableFA21324[[#This Row],[Project]],TableFA21324[Program],TableFA21324[[#This Row],[Program]])</f>
        <v>5</v>
      </c>
      <c r="H48" s="5">
        <f>COUNTIFS(TableFA21324[Project],TableFA21324[[#This Row],[Project]])</f>
        <v>5</v>
      </c>
      <c r="K48" s="4" t="s">
        <v>31</v>
      </c>
      <c r="L48" s="4" t="s">
        <v>31</v>
      </c>
      <c r="M48" s="4" t="s">
        <v>31</v>
      </c>
      <c r="N48" s="4" t="s">
        <v>31</v>
      </c>
      <c r="O48" s="4" t="s">
        <v>31</v>
      </c>
      <c r="P48" s="4" t="s">
        <v>31</v>
      </c>
      <c r="Q48" s="4" t="s">
        <v>31</v>
      </c>
      <c r="R48" s="4" t="s">
        <v>31</v>
      </c>
      <c r="S48" s="4" t="s">
        <v>31</v>
      </c>
      <c r="T48" s="4" t="s">
        <v>31</v>
      </c>
      <c r="U48" s="4" t="s">
        <v>31</v>
      </c>
      <c r="V48" s="4" t="s">
        <v>31</v>
      </c>
      <c r="W48" s="4" t="s">
        <v>31</v>
      </c>
      <c r="X48" s="4" t="s">
        <v>31</v>
      </c>
    </row>
    <row r="49" spans="1:24" s="4" customFormat="1" x14ac:dyDescent="0.2">
      <c r="A49" t="s">
        <v>136</v>
      </c>
      <c r="B49" t="s">
        <v>137</v>
      </c>
      <c r="C49" t="s">
        <v>26</v>
      </c>
      <c r="D49" t="s">
        <v>54</v>
      </c>
      <c r="E49" s="22" t="s">
        <v>28</v>
      </c>
      <c r="F49" s="4" t="s">
        <v>133</v>
      </c>
      <c r="G49" s="5">
        <f>COUNTIFS(TableFA21324[Project],TableFA21324[[#This Row],[Project]],TableFA21324[Program],TableFA21324[[#This Row],[Program]])</f>
        <v>5</v>
      </c>
      <c r="H49" s="5">
        <f>COUNTIFS(TableFA21324[Project],TableFA21324[[#This Row],[Project]])</f>
        <v>5</v>
      </c>
      <c r="K49" s="4" t="s">
        <v>31</v>
      </c>
      <c r="L49" s="4" t="s">
        <v>31</v>
      </c>
      <c r="M49" s="4" t="s">
        <v>31</v>
      </c>
      <c r="N49" s="4" t="s">
        <v>31</v>
      </c>
      <c r="O49" s="4" t="s">
        <v>31</v>
      </c>
      <c r="P49" s="4" t="s">
        <v>31</v>
      </c>
      <c r="Q49" s="4" t="s">
        <v>31</v>
      </c>
      <c r="R49" s="4" t="s">
        <v>31</v>
      </c>
      <c r="S49" s="4" t="s">
        <v>31</v>
      </c>
      <c r="T49" s="4" t="s">
        <v>31</v>
      </c>
      <c r="U49" s="4" t="s">
        <v>31</v>
      </c>
      <c r="V49" s="4" t="s">
        <v>31</v>
      </c>
      <c r="W49" s="4" t="s">
        <v>31</v>
      </c>
      <c r="X49" s="4" t="s">
        <v>31</v>
      </c>
    </row>
    <row r="50" spans="1:24" s="4" customFormat="1" x14ac:dyDescent="0.2">
      <c r="A50" t="s">
        <v>138</v>
      </c>
      <c r="B50" t="s">
        <v>139</v>
      </c>
      <c r="C50" t="s">
        <v>26</v>
      </c>
      <c r="D50" t="s">
        <v>27</v>
      </c>
      <c r="E50" s="22" t="s">
        <v>28</v>
      </c>
      <c r="F50" s="4" t="s">
        <v>133</v>
      </c>
      <c r="G50" s="5">
        <f>COUNTIFS(TableFA21324[Project],TableFA21324[[#This Row],[Project]],TableFA21324[Program],TableFA21324[[#This Row],[Program]])</f>
        <v>5</v>
      </c>
      <c r="H50" s="5">
        <f>COUNTIFS(TableFA21324[Project],TableFA21324[[#This Row],[Project]])</f>
        <v>5</v>
      </c>
      <c r="K50" s="4" t="s">
        <v>31</v>
      </c>
      <c r="L50" s="4" t="s">
        <v>31</v>
      </c>
      <c r="M50" s="4" t="s">
        <v>31</v>
      </c>
      <c r="N50" s="4" t="s">
        <v>31</v>
      </c>
      <c r="O50" s="4" t="s">
        <v>31</v>
      </c>
      <c r="P50" s="4" t="s">
        <v>31</v>
      </c>
      <c r="Q50" s="4" t="s">
        <v>31</v>
      </c>
      <c r="R50" s="4" t="s">
        <v>31</v>
      </c>
      <c r="S50" s="4" t="s">
        <v>31</v>
      </c>
      <c r="T50" s="4" t="s">
        <v>31</v>
      </c>
      <c r="U50" s="4" t="s">
        <v>31</v>
      </c>
      <c r="V50" s="4" t="s">
        <v>31</v>
      </c>
      <c r="W50" s="4" t="s">
        <v>31</v>
      </c>
      <c r="X50" s="4" t="s">
        <v>31</v>
      </c>
    </row>
    <row r="51" spans="1:24" s="4" customFormat="1" x14ac:dyDescent="0.2">
      <c r="A51" t="s">
        <v>140</v>
      </c>
      <c r="B51" t="s">
        <v>141</v>
      </c>
      <c r="C51" t="s">
        <v>26</v>
      </c>
      <c r="D51" t="s">
        <v>27</v>
      </c>
      <c r="E51" s="22" t="s">
        <v>28</v>
      </c>
      <c r="F51" s="4" t="s">
        <v>133</v>
      </c>
      <c r="G51" s="5">
        <f>COUNTIFS(TableFA21324[Project],TableFA21324[[#This Row],[Project]],TableFA21324[Program],TableFA21324[[#This Row],[Program]])</f>
        <v>5</v>
      </c>
      <c r="H51" s="5">
        <f>COUNTIFS(TableFA21324[Project],TableFA21324[[#This Row],[Project]])</f>
        <v>5</v>
      </c>
      <c r="K51" s="4" t="s">
        <v>31</v>
      </c>
      <c r="L51" s="4" t="s">
        <v>31</v>
      </c>
      <c r="M51" s="4" t="s">
        <v>31</v>
      </c>
      <c r="N51" s="4" t="s">
        <v>31</v>
      </c>
      <c r="O51" s="4" t="s">
        <v>31</v>
      </c>
      <c r="P51" s="4" t="s">
        <v>31</v>
      </c>
      <c r="Q51" s="4" t="s">
        <v>31</v>
      </c>
      <c r="R51" s="4" t="s">
        <v>31</v>
      </c>
      <c r="S51" s="4" t="s">
        <v>31</v>
      </c>
      <c r="T51" s="4" t="s">
        <v>31</v>
      </c>
      <c r="U51" s="4" t="s">
        <v>31</v>
      </c>
      <c r="V51" s="4" t="s">
        <v>31</v>
      </c>
      <c r="W51" s="4" t="s">
        <v>31</v>
      </c>
      <c r="X51" s="4" t="s">
        <v>31</v>
      </c>
    </row>
    <row r="52" spans="1:24" s="4" customFormat="1" x14ac:dyDescent="0.2">
      <c r="A52" s="20" t="s">
        <v>142</v>
      </c>
      <c r="B52" s="20" t="s">
        <v>143</v>
      </c>
      <c r="C52" s="20" t="s">
        <v>26</v>
      </c>
      <c r="D52" s="20" t="s">
        <v>27</v>
      </c>
      <c r="E52" s="22" t="s">
        <v>28</v>
      </c>
      <c r="F52" s="5" t="s">
        <v>144</v>
      </c>
      <c r="G52" s="5">
        <f>COUNTIFS(TableFA21324[Project],TableFA21324[[#This Row],[Project]],TableFA21324[Program],TableFA21324[[#This Row],[Program]])</f>
        <v>3</v>
      </c>
      <c r="H52" s="5">
        <f>COUNTIFS(TableFA21324[Project],TableFA21324[[#This Row],[Project]])</f>
        <v>3</v>
      </c>
      <c r="I52" s="5" t="s">
        <v>30</v>
      </c>
      <c r="J52" s="5"/>
      <c r="K52" s="5" t="s">
        <v>31</v>
      </c>
      <c r="L52" s="5" t="s">
        <v>31</v>
      </c>
      <c r="M52" s="5" t="s">
        <v>31</v>
      </c>
      <c r="N52" s="5" t="s">
        <v>31</v>
      </c>
      <c r="O52" s="5" t="s">
        <v>31</v>
      </c>
      <c r="P52" s="5" t="s">
        <v>31</v>
      </c>
      <c r="Q52" s="5" t="s">
        <v>31</v>
      </c>
      <c r="R52" s="5" t="s">
        <v>31</v>
      </c>
      <c r="S52" s="5" t="s">
        <v>31</v>
      </c>
      <c r="T52" s="5" t="s">
        <v>31</v>
      </c>
      <c r="U52" s="5" t="s">
        <v>31</v>
      </c>
      <c r="V52" s="5" t="s">
        <v>31</v>
      </c>
      <c r="W52" s="5" t="s">
        <v>31</v>
      </c>
      <c r="X52" s="5" t="s">
        <v>31</v>
      </c>
    </row>
    <row r="53" spans="1:24" s="4" customFormat="1" x14ac:dyDescent="0.2">
      <c r="A53" t="s">
        <v>145</v>
      </c>
      <c r="B53" t="s">
        <v>146</v>
      </c>
      <c r="C53" t="s">
        <v>26</v>
      </c>
      <c r="D53" t="s">
        <v>27</v>
      </c>
      <c r="E53" s="22" t="s">
        <v>28</v>
      </c>
      <c r="F53" s="4" t="s">
        <v>144</v>
      </c>
      <c r="G53" s="5">
        <f>COUNTIFS(TableFA21324[Project],TableFA21324[[#This Row],[Project]],TableFA21324[Program],TableFA21324[[#This Row],[Program]])</f>
        <v>3</v>
      </c>
      <c r="H53" s="5">
        <f>COUNTIFS(TableFA21324[Project],TableFA21324[[#This Row],[Project]])</f>
        <v>3</v>
      </c>
      <c r="K53" s="4" t="s">
        <v>31</v>
      </c>
      <c r="L53" s="4" t="s">
        <v>31</v>
      </c>
      <c r="M53" s="4" t="s">
        <v>31</v>
      </c>
      <c r="N53" s="4" t="s">
        <v>31</v>
      </c>
      <c r="O53" s="4" t="s">
        <v>31</v>
      </c>
      <c r="P53" s="4" t="s">
        <v>31</v>
      </c>
      <c r="Q53" s="4" t="s">
        <v>31</v>
      </c>
      <c r="R53" s="4" t="s">
        <v>31</v>
      </c>
      <c r="S53" s="4" t="s">
        <v>31</v>
      </c>
      <c r="T53" s="4" t="s">
        <v>31</v>
      </c>
      <c r="U53" s="4" t="s">
        <v>31</v>
      </c>
      <c r="V53" s="4" t="s">
        <v>31</v>
      </c>
      <c r="W53" s="4" t="s">
        <v>31</v>
      </c>
      <c r="X53" s="4" t="s">
        <v>31</v>
      </c>
    </row>
    <row r="54" spans="1:24" s="4" customFormat="1" x14ac:dyDescent="0.2">
      <c r="A54" t="s">
        <v>147</v>
      </c>
      <c r="B54" t="s">
        <v>148</v>
      </c>
      <c r="C54" t="s">
        <v>26</v>
      </c>
      <c r="D54" t="s">
        <v>27</v>
      </c>
      <c r="E54" s="22" t="s">
        <v>28</v>
      </c>
      <c r="F54" s="4" t="s">
        <v>144</v>
      </c>
      <c r="G54" s="5">
        <f>COUNTIFS(TableFA21324[Project],TableFA21324[[#This Row],[Project]],TableFA21324[Program],TableFA21324[[#This Row],[Program]])</f>
        <v>3</v>
      </c>
      <c r="H54" s="5">
        <f>COUNTIFS(TableFA21324[Project],TableFA21324[[#This Row],[Project]])</f>
        <v>3</v>
      </c>
      <c r="K54" s="4" t="s">
        <v>31</v>
      </c>
      <c r="L54" s="4" t="s">
        <v>31</v>
      </c>
      <c r="M54" s="4" t="s">
        <v>31</v>
      </c>
      <c r="N54" s="4" t="s">
        <v>31</v>
      </c>
      <c r="O54" s="4" t="s">
        <v>31</v>
      </c>
      <c r="P54" s="4" t="s">
        <v>31</v>
      </c>
      <c r="Q54" s="4" t="s">
        <v>31</v>
      </c>
      <c r="R54" s="4" t="s">
        <v>31</v>
      </c>
      <c r="S54" s="4" t="s">
        <v>31</v>
      </c>
      <c r="T54" s="4" t="s">
        <v>31</v>
      </c>
      <c r="U54" s="4" t="s">
        <v>31</v>
      </c>
      <c r="V54" s="4" t="s">
        <v>31</v>
      </c>
      <c r="W54" s="4" t="s">
        <v>31</v>
      </c>
      <c r="X54" s="4" t="s">
        <v>31</v>
      </c>
    </row>
    <row r="55" spans="1:24" s="4" customFormat="1" x14ac:dyDescent="0.2">
      <c r="A55" t="s">
        <v>149</v>
      </c>
      <c r="B55" t="s">
        <v>150</v>
      </c>
      <c r="C55" t="s">
        <v>26</v>
      </c>
      <c r="D55" t="s">
        <v>27</v>
      </c>
      <c r="E55" s="22" t="s">
        <v>28</v>
      </c>
      <c r="F55" s="8" t="s">
        <v>151</v>
      </c>
      <c r="G55" s="5">
        <f>COUNTIFS(TableFA21324[Project],TableFA21324[[#This Row],[Project]],TableFA21324[Program],TableFA21324[[#This Row],[Program]])</f>
        <v>4</v>
      </c>
      <c r="H55" s="5">
        <f>COUNTIFS(TableFA21324[Project],TableFA21324[[#This Row],[Project]])</f>
        <v>4</v>
      </c>
      <c r="I55" s="8" t="s">
        <v>30</v>
      </c>
      <c r="K55" s="4" t="s">
        <v>31</v>
      </c>
      <c r="L55" s="4" t="s">
        <v>31</v>
      </c>
      <c r="M55" s="4" t="s">
        <v>31</v>
      </c>
      <c r="N55" s="4" t="s">
        <v>31</v>
      </c>
    </row>
    <row r="56" spans="1:24" s="4" customFormat="1" x14ac:dyDescent="0.2">
      <c r="A56" t="s">
        <v>152</v>
      </c>
      <c r="B56" t="s">
        <v>153</v>
      </c>
      <c r="C56" t="s">
        <v>26</v>
      </c>
      <c r="D56" t="s">
        <v>27</v>
      </c>
      <c r="E56" s="22" t="s">
        <v>28</v>
      </c>
      <c r="F56" s="4" t="s">
        <v>151</v>
      </c>
      <c r="G56" s="5">
        <f>COUNTIFS(TableFA21324[Project],TableFA21324[[#This Row],[Project]],TableFA21324[Program],TableFA21324[[#This Row],[Program]])</f>
        <v>4</v>
      </c>
      <c r="H56" s="5">
        <f>COUNTIFS(TableFA21324[Project],TableFA21324[[#This Row],[Project]])</f>
        <v>4</v>
      </c>
      <c r="K56" s="4" t="s">
        <v>31</v>
      </c>
      <c r="L56" s="4" t="s">
        <v>31</v>
      </c>
      <c r="M56" s="4" t="s">
        <v>31</v>
      </c>
      <c r="N56" s="4" t="s">
        <v>31</v>
      </c>
    </row>
    <row r="57" spans="1:24" s="4" customFormat="1" x14ac:dyDescent="0.2">
      <c r="A57" t="s">
        <v>154</v>
      </c>
      <c r="B57" t="s">
        <v>155</v>
      </c>
      <c r="C57" t="s">
        <v>26</v>
      </c>
      <c r="D57" t="s">
        <v>27</v>
      </c>
      <c r="E57" s="22" t="s">
        <v>28</v>
      </c>
      <c r="F57" s="4" t="s">
        <v>151</v>
      </c>
      <c r="G57" s="5">
        <f>COUNTIFS(TableFA21324[Project],TableFA21324[[#This Row],[Project]],TableFA21324[Program],TableFA21324[[#This Row],[Program]])</f>
        <v>4</v>
      </c>
      <c r="H57" s="5">
        <f>COUNTIFS(TableFA21324[Project],TableFA21324[[#This Row],[Project]])</f>
        <v>4</v>
      </c>
      <c r="K57" s="4" t="s">
        <v>31</v>
      </c>
      <c r="L57" s="4" t="s">
        <v>31</v>
      </c>
      <c r="M57" s="4" t="s">
        <v>31</v>
      </c>
      <c r="N57" s="4" t="s">
        <v>31</v>
      </c>
    </row>
    <row r="58" spans="1:24" s="4" customFormat="1" x14ac:dyDescent="0.2">
      <c r="A58" t="s">
        <v>156</v>
      </c>
      <c r="B58" t="s">
        <v>157</v>
      </c>
      <c r="C58" t="s">
        <v>26</v>
      </c>
      <c r="D58" t="s">
        <v>27</v>
      </c>
      <c r="E58" s="22" t="s">
        <v>28</v>
      </c>
      <c r="F58" s="4" t="s">
        <v>151</v>
      </c>
      <c r="G58" s="5">
        <f>COUNTIFS(TableFA21324[Project],TableFA21324[[#This Row],[Project]],TableFA21324[Program],TableFA21324[[#This Row],[Program]])</f>
        <v>4</v>
      </c>
      <c r="H58" s="5">
        <f>COUNTIFS(TableFA21324[Project],TableFA21324[[#This Row],[Project]])</f>
        <v>4</v>
      </c>
      <c r="K58" s="4" t="s">
        <v>31</v>
      </c>
      <c r="L58" s="4" t="s">
        <v>31</v>
      </c>
      <c r="M58" s="4" t="s">
        <v>31</v>
      </c>
      <c r="N58" s="4" t="s">
        <v>31</v>
      </c>
    </row>
    <row r="59" spans="1:24" s="4" customFormat="1" x14ac:dyDescent="0.2">
      <c r="A59" s="20" t="s">
        <v>158</v>
      </c>
      <c r="B59" s="20" t="s">
        <v>159</v>
      </c>
      <c r="C59" t="s">
        <v>26</v>
      </c>
      <c r="D59" t="s">
        <v>27</v>
      </c>
      <c r="E59" s="22" t="s">
        <v>28</v>
      </c>
      <c r="F59" s="4" t="s">
        <v>160</v>
      </c>
      <c r="G59" s="5">
        <f>COUNTIFS(TableFA21324[Project],TableFA21324[[#This Row],[Project]],TableFA21324[Program],TableFA21324[[#This Row],[Program]])</f>
        <v>5</v>
      </c>
      <c r="H59" s="5">
        <f>COUNTIFS(TableFA21324[Project],TableFA21324[[#This Row],[Project]])</f>
        <v>5</v>
      </c>
      <c r="I59" s="5" t="s">
        <v>30</v>
      </c>
      <c r="J59" s="8"/>
      <c r="K59" s="5" t="s">
        <v>31</v>
      </c>
      <c r="L59" s="5" t="s">
        <v>31</v>
      </c>
      <c r="M59" s="5" t="s">
        <v>31</v>
      </c>
      <c r="N59" s="5" t="s">
        <v>31</v>
      </c>
      <c r="O59" s="5" t="s">
        <v>31</v>
      </c>
      <c r="P59" s="5" t="s">
        <v>31</v>
      </c>
      <c r="Q59" s="5" t="s">
        <v>31</v>
      </c>
      <c r="R59" s="5" t="s">
        <v>31</v>
      </c>
    </row>
    <row r="60" spans="1:24" s="4" customFormat="1" x14ac:dyDescent="0.2">
      <c r="A60" t="s">
        <v>161</v>
      </c>
      <c r="B60" t="s">
        <v>162</v>
      </c>
      <c r="C60" t="s">
        <v>26</v>
      </c>
      <c r="D60" t="s">
        <v>27</v>
      </c>
      <c r="E60" s="22" t="s">
        <v>28</v>
      </c>
      <c r="F60" s="4" t="s">
        <v>160</v>
      </c>
      <c r="G60" s="5">
        <f>COUNTIFS(TableFA21324[Project],TableFA21324[[#This Row],[Project]],TableFA21324[Program],TableFA21324[[#This Row],[Program]])</f>
        <v>5</v>
      </c>
      <c r="H60" s="5">
        <f>COUNTIFS(TableFA21324[Project],TableFA21324[[#This Row],[Project]])</f>
        <v>5</v>
      </c>
      <c r="K60" s="4" t="s">
        <v>31</v>
      </c>
      <c r="L60" s="4" t="s">
        <v>31</v>
      </c>
      <c r="M60" s="4" t="s">
        <v>31</v>
      </c>
      <c r="N60" s="4" t="s">
        <v>31</v>
      </c>
      <c r="O60" s="4" t="s">
        <v>31</v>
      </c>
      <c r="P60" s="4" t="s">
        <v>31</v>
      </c>
      <c r="Q60" s="4" t="s">
        <v>31</v>
      </c>
      <c r="R60" s="4" t="s">
        <v>31</v>
      </c>
    </row>
    <row r="61" spans="1:24" s="4" customFormat="1" x14ac:dyDescent="0.2">
      <c r="A61" t="s">
        <v>163</v>
      </c>
      <c r="B61" s="4" t="s">
        <v>164</v>
      </c>
      <c r="C61" s="4" t="s">
        <v>26</v>
      </c>
      <c r="D61" s="3" t="s">
        <v>54</v>
      </c>
      <c r="E61" s="22" t="s">
        <v>28</v>
      </c>
      <c r="F61" s="4" t="s">
        <v>160</v>
      </c>
      <c r="G61" s="5">
        <f>COUNTIFS(TableFA21324[Project],TableFA21324[[#This Row],[Project]],TableFA21324[Program],TableFA21324[[#This Row],[Program]])</f>
        <v>5</v>
      </c>
      <c r="H61" s="5">
        <f>COUNTIFS(TableFA21324[Project],TableFA21324[[#This Row],[Project]])</f>
        <v>5</v>
      </c>
      <c r="K61" s="4" t="s">
        <v>31</v>
      </c>
      <c r="L61" s="4" t="s">
        <v>31</v>
      </c>
      <c r="M61" s="4" t="s">
        <v>31</v>
      </c>
      <c r="N61" s="4" t="s">
        <v>31</v>
      </c>
      <c r="O61" s="4" t="s">
        <v>31</v>
      </c>
      <c r="P61" s="4" t="s">
        <v>31</v>
      </c>
      <c r="Q61" s="4" t="s">
        <v>31</v>
      </c>
      <c r="R61" s="4" t="s">
        <v>31</v>
      </c>
    </row>
    <row r="62" spans="1:24" s="4" customFormat="1" x14ac:dyDescent="0.2">
      <c r="A62" t="s">
        <v>165</v>
      </c>
      <c r="B62" t="s">
        <v>166</v>
      </c>
      <c r="C62" t="s">
        <v>26</v>
      </c>
      <c r="D62" t="s">
        <v>27</v>
      </c>
      <c r="E62" s="22" t="s">
        <v>28</v>
      </c>
      <c r="F62" s="4" t="s">
        <v>160</v>
      </c>
      <c r="G62" s="5">
        <f>COUNTIFS(TableFA21324[Project],TableFA21324[[#This Row],[Project]],TableFA21324[Program],TableFA21324[[#This Row],[Program]])</f>
        <v>5</v>
      </c>
      <c r="H62" s="5">
        <f>COUNTIFS(TableFA21324[Project],TableFA21324[[#This Row],[Project]])</f>
        <v>5</v>
      </c>
      <c r="K62" s="4" t="s">
        <v>31</v>
      </c>
      <c r="L62" s="4" t="s">
        <v>31</v>
      </c>
      <c r="M62" s="4" t="s">
        <v>31</v>
      </c>
      <c r="N62" s="4" t="s">
        <v>31</v>
      </c>
      <c r="O62" s="4" t="s">
        <v>31</v>
      </c>
      <c r="P62" s="4" t="s">
        <v>31</v>
      </c>
      <c r="Q62" s="4" t="s">
        <v>31</v>
      </c>
      <c r="R62" s="4" t="s">
        <v>31</v>
      </c>
    </row>
    <row r="63" spans="1:24" s="4" customFormat="1" x14ac:dyDescent="0.2">
      <c r="A63" t="s">
        <v>167</v>
      </c>
      <c r="B63" t="s">
        <v>168</v>
      </c>
      <c r="C63" t="s">
        <v>26</v>
      </c>
      <c r="D63" t="s">
        <v>27</v>
      </c>
      <c r="E63" s="22" t="s">
        <v>28</v>
      </c>
      <c r="F63" s="4" t="s">
        <v>160</v>
      </c>
      <c r="G63" s="5">
        <f>COUNTIFS(TableFA21324[Project],TableFA21324[[#This Row],[Project]],TableFA21324[Program],TableFA21324[[#This Row],[Program]])</f>
        <v>5</v>
      </c>
      <c r="H63" s="5">
        <f>COUNTIFS(TableFA21324[Project],TableFA21324[[#This Row],[Project]])</f>
        <v>5</v>
      </c>
      <c r="K63" s="4" t="s">
        <v>31</v>
      </c>
      <c r="L63" s="4" t="s">
        <v>31</v>
      </c>
      <c r="M63" s="4" t="s">
        <v>31</v>
      </c>
      <c r="N63" s="4" t="s">
        <v>31</v>
      </c>
      <c r="O63" s="4" t="s">
        <v>31</v>
      </c>
      <c r="P63" s="4" t="s">
        <v>31</v>
      </c>
      <c r="Q63" s="4" t="s">
        <v>31</v>
      </c>
      <c r="R63" s="4" t="s">
        <v>31</v>
      </c>
    </row>
    <row r="64" spans="1:24" s="4" customFormat="1" x14ac:dyDescent="0.2">
      <c r="A64" s="20" t="s">
        <v>169</v>
      </c>
      <c r="B64" s="20" t="s">
        <v>170</v>
      </c>
      <c r="C64" s="20" t="s">
        <v>26</v>
      </c>
      <c r="D64" s="20" t="s">
        <v>27</v>
      </c>
      <c r="E64" s="22" t="s">
        <v>28</v>
      </c>
      <c r="F64" s="5" t="s">
        <v>171</v>
      </c>
      <c r="G64" s="5">
        <f>COUNTIFS(TableFA21324[Project],TableFA21324[[#This Row],[Project]],TableFA21324[Program],TableFA21324[[#This Row],[Program]])</f>
        <v>5</v>
      </c>
      <c r="H64" s="5">
        <f>COUNTIFS(TableFA21324[Project],TableFA21324[[#This Row],[Project]])</f>
        <v>5</v>
      </c>
      <c r="I64" s="5" t="s">
        <v>30</v>
      </c>
      <c r="J64" s="5"/>
      <c r="K64" s="5" t="s">
        <v>31</v>
      </c>
      <c r="L64" s="5" t="s">
        <v>31</v>
      </c>
      <c r="M64" s="5" t="s">
        <v>31</v>
      </c>
      <c r="N64" s="5" t="s">
        <v>91</v>
      </c>
      <c r="O64" s="5" t="s">
        <v>31</v>
      </c>
      <c r="P64" s="5" t="s">
        <v>31</v>
      </c>
      <c r="Q64" s="5" t="s">
        <v>31</v>
      </c>
      <c r="R64" s="5" t="s">
        <v>31</v>
      </c>
      <c r="S64" s="5" t="s">
        <v>31</v>
      </c>
      <c r="T64" s="5" t="s">
        <v>31</v>
      </c>
      <c r="U64" s="5" t="s">
        <v>31</v>
      </c>
      <c r="V64" s="5" t="s">
        <v>31</v>
      </c>
      <c r="W64" s="5"/>
      <c r="X64" s="5"/>
    </row>
    <row r="65" spans="1:24" s="4" customFormat="1" x14ac:dyDescent="0.2">
      <c r="A65" s="4" t="s">
        <v>172</v>
      </c>
      <c r="B65" s="4" t="s">
        <v>173</v>
      </c>
      <c r="C65" s="4" t="s">
        <v>26</v>
      </c>
      <c r="D65" t="s">
        <v>27</v>
      </c>
      <c r="E65" s="22" t="s">
        <v>28</v>
      </c>
      <c r="F65" s="4" t="s">
        <v>171</v>
      </c>
      <c r="G65" s="5">
        <f>COUNTIFS(TableFA21324[Project],TableFA21324[[#This Row],[Project]],TableFA21324[Program],TableFA21324[[#This Row],[Program]])</f>
        <v>5</v>
      </c>
      <c r="H65" s="5">
        <f>COUNTIFS(TableFA21324[Project],TableFA21324[[#This Row],[Project]])</f>
        <v>5</v>
      </c>
      <c r="K65" s="4" t="s">
        <v>31</v>
      </c>
      <c r="L65" s="4" t="s">
        <v>31</v>
      </c>
      <c r="M65" s="4" t="s">
        <v>31</v>
      </c>
      <c r="N65" s="4" t="s">
        <v>31</v>
      </c>
      <c r="O65" s="4" t="s">
        <v>91</v>
      </c>
      <c r="P65" s="4" t="s">
        <v>49</v>
      </c>
      <c r="Q65" s="4" t="s">
        <v>49</v>
      </c>
      <c r="R65" s="4" t="s">
        <v>31</v>
      </c>
      <c r="S65" s="4" t="s">
        <v>31</v>
      </c>
      <c r="T65" s="4" t="s">
        <v>31</v>
      </c>
      <c r="U65" s="4" t="s">
        <v>91</v>
      </c>
      <c r="V65" s="4" t="s">
        <v>91</v>
      </c>
    </row>
    <row r="66" spans="1:24" s="4" customFormat="1" x14ac:dyDescent="0.2">
      <c r="A66" t="s">
        <v>174</v>
      </c>
      <c r="B66" t="s">
        <v>175</v>
      </c>
      <c r="C66" t="s">
        <v>26</v>
      </c>
      <c r="D66" t="s">
        <v>27</v>
      </c>
      <c r="E66" s="22" t="s">
        <v>28</v>
      </c>
      <c r="F66" s="4" t="s">
        <v>171</v>
      </c>
      <c r="G66" s="5">
        <f>COUNTIFS(TableFA21324[Project],TableFA21324[[#This Row],[Project]],TableFA21324[Program],TableFA21324[[#This Row],[Program]])</f>
        <v>5</v>
      </c>
      <c r="H66" s="5">
        <f>COUNTIFS(TableFA21324[Project],TableFA21324[[#This Row],[Project]])</f>
        <v>5</v>
      </c>
      <c r="K66" s="4" t="s">
        <v>31</v>
      </c>
      <c r="L66" s="4" t="s">
        <v>31</v>
      </c>
      <c r="M66" s="4" t="s">
        <v>31</v>
      </c>
      <c r="N66" s="4" t="s">
        <v>31</v>
      </c>
      <c r="O66" s="4" t="s">
        <v>31</v>
      </c>
      <c r="P66" s="4" t="s">
        <v>31</v>
      </c>
      <c r="Q66" s="4" t="s">
        <v>31</v>
      </c>
      <c r="R66" s="4" t="s">
        <v>31</v>
      </c>
      <c r="S66" s="4" t="s">
        <v>31</v>
      </c>
      <c r="T66" s="4" t="s">
        <v>31</v>
      </c>
      <c r="U66" s="4" t="s">
        <v>31</v>
      </c>
      <c r="V66" s="4" t="s">
        <v>31</v>
      </c>
    </row>
    <row r="67" spans="1:24" s="4" customFormat="1" x14ac:dyDescent="0.2">
      <c r="A67" t="s">
        <v>176</v>
      </c>
      <c r="B67" s="4" t="s">
        <v>177</v>
      </c>
      <c r="C67" s="4" t="s">
        <v>26</v>
      </c>
      <c r="D67" s="3" t="s">
        <v>27</v>
      </c>
      <c r="E67" s="22" t="s">
        <v>28</v>
      </c>
      <c r="F67" s="4" t="s">
        <v>171</v>
      </c>
      <c r="G67" s="5">
        <f>COUNTIFS(TableFA21324[Project],TableFA21324[[#This Row],[Project]],TableFA21324[Program],TableFA21324[[#This Row],[Program]])</f>
        <v>5</v>
      </c>
      <c r="H67" s="5">
        <f>COUNTIFS(TableFA21324[Project],TableFA21324[[#This Row],[Project]])</f>
        <v>5</v>
      </c>
      <c r="K67" s="4" t="s">
        <v>31</v>
      </c>
      <c r="L67" s="4" t="s">
        <v>31</v>
      </c>
      <c r="M67" s="4" t="s">
        <v>31</v>
      </c>
      <c r="N67" s="4" t="s">
        <v>31</v>
      </c>
      <c r="O67" s="4" t="s">
        <v>31</v>
      </c>
      <c r="P67" s="4" t="s">
        <v>31</v>
      </c>
      <c r="Q67" s="4" t="s">
        <v>31</v>
      </c>
      <c r="R67" s="4" t="s">
        <v>31</v>
      </c>
      <c r="S67" s="4" t="s">
        <v>31</v>
      </c>
      <c r="T67" s="4" t="s">
        <v>31</v>
      </c>
      <c r="U67" s="4" t="s">
        <v>31</v>
      </c>
      <c r="V67" s="4" t="s">
        <v>31</v>
      </c>
    </row>
    <row r="68" spans="1:24" s="4" customFormat="1" x14ac:dyDescent="0.2">
      <c r="A68" t="s">
        <v>178</v>
      </c>
      <c r="B68" t="s">
        <v>179</v>
      </c>
      <c r="C68" t="s">
        <v>26</v>
      </c>
      <c r="D68" t="s">
        <v>27</v>
      </c>
      <c r="E68" s="22" t="s">
        <v>28</v>
      </c>
      <c r="F68" s="4" t="s">
        <v>171</v>
      </c>
      <c r="G68" s="5">
        <f>COUNTIFS(TableFA21324[Project],TableFA21324[[#This Row],[Project]],TableFA21324[Program],TableFA21324[[#This Row],[Program]])</f>
        <v>5</v>
      </c>
      <c r="H68" s="5">
        <f>COUNTIFS(TableFA21324[Project],TableFA21324[[#This Row],[Project]])</f>
        <v>5</v>
      </c>
      <c r="K68" s="4" t="s">
        <v>31</v>
      </c>
      <c r="L68" s="4" t="s">
        <v>31</v>
      </c>
      <c r="M68" s="4" t="s">
        <v>31</v>
      </c>
      <c r="N68" s="4" t="s">
        <v>31</v>
      </c>
      <c r="O68" s="4" t="s">
        <v>31</v>
      </c>
      <c r="P68" s="4" t="s">
        <v>31</v>
      </c>
      <c r="Q68" s="4" t="s">
        <v>31</v>
      </c>
      <c r="R68" s="4" t="s">
        <v>31</v>
      </c>
      <c r="S68" s="4" t="s">
        <v>31</v>
      </c>
      <c r="T68" s="4" t="s">
        <v>31</v>
      </c>
      <c r="U68" s="4" t="s">
        <v>31</v>
      </c>
      <c r="V68" s="4" t="s">
        <v>31</v>
      </c>
    </row>
    <row r="69" spans="1:24" s="4" customFormat="1" x14ac:dyDescent="0.2">
      <c r="A69" s="20" t="s">
        <v>180</v>
      </c>
      <c r="B69" s="20" t="s">
        <v>181</v>
      </c>
      <c r="C69" s="20" t="s">
        <v>26</v>
      </c>
      <c r="D69" s="20" t="s">
        <v>27</v>
      </c>
      <c r="E69" s="22" t="s">
        <v>28</v>
      </c>
      <c r="F69" s="5" t="s">
        <v>182</v>
      </c>
      <c r="G69" s="5">
        <f>COUNTIFS(TableFA21324[Project],TableFA21324[[#This Row],[Project]],TableFA21324[Program],TableFA21324[[#This Row],[Program]])</f>
        <v>5</v>
      </c>
      <c r="H69" s="5">
        <f>COUNTIFS(TableFA21324[Project],TableFA21324[[#This Row],[Project]])</f>
        <v>5</v>
      </c>
      <c r="I69" s="5" t="s">
        <v>30</v>
      </c>
      <c r="J69" s="5"/>
      <c r="K69" s="5" t="s">
        <v>31</v>
      </c>
      <c r="L69" s="5" t="s">
        <v>31</v>
      </c>
      <c r="M69" s="5" t="s">
        <v>31</v>
      </c>
      <c r="N69" s="5" t="s">
        <v>31</v>
      </c>
      <c r="O69" s="5" t="s">
        <v>31</v>
      </c>
      <c r="P69" s="5" t="s">
        <v>31</v>
      </c>
      <c r="Q69" s="5" t="s">
        <v>31</v>
      </c>
      <c r="R69" s="5" t="s">
        <v>31</v>
      </c>
      <c r="S69" s="5" t="s">
        <v>31</v>
      </c>
      <c r="T69" s="5" t="s">
        <v>31</v>
      </c>
      <c r="U69" s="5" t="s">
        <v>31</v>
      </c>
      <c r="V69" s="5" t="s">
        <v>31</v>
      </c>
      <c r="W69" s="5" t="s">
        <v>31</v>
      </c>
      <c r="X69" s="5" t="s">
        <v>31</v>
      </c>
    </row>
    <row r="70" spans="1:24" s="4" customFormat="1" x14ac:dyDescent="0.2">
      <c r="A70" t="s">
        <v>183</v>
      </c>
      <c r="B70" t="s">
        <v>184</v>
      </c>
      <c r="C70" t="s">
        <v>26</v>
      </c>
      <c r="D70" t="s">
        <v>27</v>
      </c>
      <c r="E70" s="22" t="s">
        <v>28</v>
      </c>
      <c r="F70" s="4" t="s">
        <v>182</v>
      </c>
      <c r="G70" s="5">
        <f>COUNTIFS(TableFA21324[Project],TableFA21324[[#This Row],[Project]],TableFA21324[Program],TableFA21324[[#This Row],[Program]])</f>
        <v>5</v>
      </c>
      <c r="H70" s="5">
        <f>COUNTIFS(TableFA21324[Project],TableFA21324[[#This Row],[Project]])</f>
        <v>5</v>
      </c>
      <c r="K70" s="4" t="s">
        <v>31</v>
      </c>
      <c r="L70" s="4" t="s">
        <v>31</v>
      </c>
      <c r="M70" s="4" t="s">
        <v>31</v>
      </c>
      <c r="N70" s="4" t="s">
        <v>31</v>
      </c>
      <c r="O70" s="4" t="s">
        <v>31</v>
      </c>
      <c r="P70" s="4" t="s">
        <v>31</v>
      </c>
      <c r="Q70" s="4" t="s">
        <v>31</v>
      </c>
      <c r="R70" s="4" t="s">
        <v>31</v>
      </c>
      <c r="S70" s="4" t="s">
        <v>31</v>
      </c>
      <c r="T70" s="4" t="s">
        <v>31</v>
      </c>
      <c r="U70" s="4" t="s">
        <v>31</v>
      </c>
      <c r="V70" s="4" t="s">
        <v>31</v>
      </c>
      <c r="W70" s="4" t="s">
        <v>31</v>
      </c>
      <c r="X70" s="4" t="s">
        <v>31</v>
      </c>
    </row>
    <row r="71" spans="1:24" s="4" customFormat="1" x14ac:dyDescent="0.2">
      <c r="A71" t="s">
        <v>185</v>
      </c>
      <c r="B71" t="s">
        <v>186</v>
      </c>
      <c r="C71" t="s">
        <v>26</v>
      </c>
      <c r="D71" t="s">
        <v>27</v>
      </c>
      <c r="E71" s="22" t="s">
        <v>28</v>
      </c>
      <c r="F71" s="4" t="s">
        <v>182</v>
      </c>
      <c r="G71" s="5">
        <f>COUNTIFS(TableFA21324[Project],TableFA21324[[#This Row],[Project]],TableFA21324[Program],TableFA21324[[#This Row],[Program]])</f>
        <v>5</v>
      </c>
      <c r="H71" s="5">
        <f>COUNTIFS(TableFA21324[Project],TableFA21324[[#This Row],[Project]])</f>
        <v>5</v>
      </c>
      <c r="K71" s="4" t="s">
        <v>31</v>
      </c>
      <c r="L71" s="4" t="s">
        <v>31</v>
      </c>
      <c r="M71" s="4" t="s">
        <v>31</v>
      </c>
      <c r="N71" s="4" t="s">
        <v>31</v>
      </c>
      <c r="O71" s="4" t="s">
        <v>31</v>
      </c>
      <c r="P71" s="4" t="s">
        <v>31</v>
      </c>
      <c r="Q71" s="4" t="s">
        <v>31</v>
      </c>
      <c r="R71" s="4" t="s">
        <v>31</v>
      </c>
      <c r="S71" s="4" t="s">
        <v>31</v>
      </c>
      <c r="T71" s="4" t="s">
        <v>31</v>
      </c>
      <c r="U71" s="4" t="s">
        <v>31</v>
      </c>
      <c r="V71" s="4" t="s">
        <v>31</v>
      </c>
      <c r="W71" s="4" t="s">
        <v>31</v>
      </c>
      <c r="X71" s="4" t="s">
        <v>31</v>
      </c>
    </row>
    <row r="72" spans="1:24" s="4" customFormat="1" x14ac:dyDescent="0.2">
      <c r="A72" t="s">
        <v>187</v>
      </c>
      <c r="B72" t="s">
        <v>188</v>
      </c>
      <c r="C72" t="s">
        <v>26</v>
      </c>
      <c r="D72" t="s">
        <v>27</v>
      </c>
      <c r="E72" s="22" t="s">
        <v>28</v>
      </c>
      <c r="F72" s="4" t="s">
        <v>182</v>
      </c>
      <c r="G72" s="5">
        <f>COUNTIFS(TableFA21324[Project],TableFA21324[[#This Row],[Project]],TableFA21324[Program],TableFA21324[[#This Row],[Program]])</f>
        <v>5</v>
      </c>
      <c r="H72" s="5">
        <f>COUNTIFS(TableFA21324[Project],TableFA21324[[#This Row],[Project]])</f>
        <v>5</v>
      </c>
      <c r="K72" s="4" t="s">
        <v>31</v>
      </c>
      <c r="L72" s="4" t="s">
        <v>31</v>
      </c>
      <c r="M72" s="4" t="s">
        <v>31</v>
      </c>
      <c r="N72" s="4" t="s">
        <v>31</v>
      </c>
      <c r="O72" s="4" t="s">
        <v>31</v>
      </c>
      <c r="P72" s="4" t="s">
        <v>31</v>
      </c>
      <c r="Q72" s="4" t="s">
        <v>31</v>
      </c>
      <c r="R72" s="4" t="s">
        <v>31</v>
      </c>
      <c r="S72" s="4" t="s">
        <v>31</v>
      </c>
      <c r="T72" s="4" t="s">
        <v>31</v>
      </c>
      <c r="U72" s="4" t="s">
        <v>31</v>
      </c>
      <c r="V72" s="4" t="s">
        <v>31</v>
      </c>
      <c r="W72" s="4" t="s">
        <v>31</v>
      </c>
      <c r="X72" s="4" t="s">
        <v>31</v>
      </c>
    </row>
    <row r="73" spans="1:24" s="4" customFormat="1" x14ac:dyDescent="0.2">
      <c r="A73" t="s">
        <v>189</v>
      </c>
      <c r="B73" t="s">
        <v>190</v>
      </c>
      <c r="C73" t="s">
        <v>26</v>
      </c>
      <c r="D73" t="s">
        <v>27</v>
      </c>
      <c r="E73" s="22" t="s">
        <v>28</v>
      </c>
      <c r="F73" s="4" t="s">
        <v>182</v>
      </c>
      <c r="G73" s="5">
        <f>COUNTIFS(TableFA21324[Project],TableFA21324[[#This Row],[Project]],TableFA21324[Program],TableFA21324[[#This Row],[Program]])</f>
        <v>5</v>
      </c>
      <c r="H73" s="5">
        <f>COUNTIFS(TableFA21324[Project],TableFA21324[[#This Row],[Project]])</f>
        <v>5</v>
      </c>
      <c r="K73" s="4" t="s">
        <v>31</v>
      </c>
      <c r="L73" s="4" t="s">
        <v>31</v>
      </c>
      <c r="M73" s="4" t="s">
        <v>31</v>
      </c>
      <c r="N73" s="4" t="s">
        <v>31</v>
      </c>
      <c r="O73" s="4" t="s">
        <v>31</v>
      </c>
      <c r="P73" s="4" t="s">
        <v>31</v>
      </c>
      <c r="Q73" s="4" t="s">
        <v>31</v>
      </c>
      <c r="R73" s="4" t="s">
        <v>31</v>
      </c>
      <c r="S73" s="4" t="s">
        <v>31</v>
      </c>
      <c r="T73" s="4" t="s">
        <v>31</v>
      </c>
      <c r="U73" s="4" t="s">
        <v>31</v>
      </c>
      <c r="V73" s="4" t="s">
        <v>31</v>
      </c>
      <c r="W73" s="4" t="s">
        <v>31</v>
      </c>
      <c r="X73" s="4" t="s">
        <v>31</v>
      </c>
    </row>
    <row r="74" spans="1:24" s="4" customFormat="1" x14ac:dyDescent="0.2">
      <c r="A74" s="12" t="s">
        <v>191</v>
      </c>
      <c r="B74" s="20" t="s">
        <v>192</v>
      </c>
      <c r="C74" s="20" t="s">
        <v>26</v>
      </c>
      <c r="D74" s="20" t="s">
        <v>54</v>
      </c>
      <c r="E74" s="22" t="s">
        <v>28</v>
      </c>
      <c r="F74" s="5" t="s">
        <v>193</v>
      </c>
      <c r="G74" s="5">
        <f>COUNTIFS(TableFA21324[Project],TableFA21324[[#This Row],[Project]],TableFA21324[Program],TableFA21324[[#This Row],[Program]])</f>
        <v>5</v>
      </c>
      <c r="H74" s="5">
        <f>COUNTIFS(TableFA21324[Project],TableFA21324[[#This Row],[Project]])</f>
        <v>5</v>
      </c>
      <c r="I74" s="5" t="s">
        <v>30</v>
      </c>
      <c r="J74" s="5"/>
      <c r="K74" s="5" t="s">
        <v>31</v>
      </c>
      <c r="L74" s="5" t="s">
        <v>31</v>
      </c>
      <c r="M74" s="5" t="s">
        <v>31</v>
      </c>
      <c r="N74" s="5" t="s">
        <v>31</v>
      </c>
      <c r="O74" s="5" t="s">
        <v>31</v>
      </c>
      <c r="P74" s="5" t="s">
        <v>31</v>
      </c>
      <c r="Q74" s="5" t="s">
        <v>31</v>
      </c>
      <c r="R74" s="5" t="s">
        <v>31</v>
      </c>
      <c r="S74" s="5" t="s">
        <v>31</v>
      </c>
      <c r="T74" s="5" t="s">
        <v>31</v>
      </c>
      <c r="U74" s="5" t="s">
        <v>31</v>
      </c>
      <c r="V74" s="5" t="s">
        <v>31</v>
      </c>
      <c r="W74" s="5" t="s">
        <v>31</v>
      </c>
      <c r="X74" s="5" t="s">
        <v>31</v>
      </c>
    </row>
    <row r="75" spans="1:24" s="4" customFormat="1" x14ac:dyDescent="0.2">
      <c r="A75" t="s">
        <v>194</v>
      </c>
      <c r="B75" t="s">
        <v>195</v>
      </c>
      <c r="C75" t="s">
        <v>26</v>
      </c>
      <c r="D75" t="s">
        <v>27</v>
      </c>
      <c r="E75" s="22" t="s">
        <v>28</v>
      </c>
      <c r="F75" s="4" t="s">
        <v>193</v>
      </c>
      <c r="G75" s="5">
        <f>COUNTIFS(TableFA21324[Project],TableFA21324[[#This Row],[Project]],TableFA21324[Program],TableFA21324[[#This Row],[Program]])</f>
        <v>5</v>
      </c>
      <c r="H75" s="5">
        <f>COUNTIFS(TableFA21324[Project],TableFA21324[[#This Row],[Project]])</f>
        <v>5</v>
      </c>
      <c r="K75" s="4" t="s">
        <v>31</v>
      </c>
      <c r="L75" s="4" t="s">
        <v>31</v>
      </c>
      <c r="M75" s="4" t="s">
        <v>31</v>
      </c>
      <c r="N75" s="7" t="s">
        <v>31</v>
      </c>
      <c r="O75" s="4" t="s">
        <v>31</v>
      </c>
      <c r="P75" s="4" t="s">
        <v>31</v>
      </c>
      <c r="Q75" s="4" t="s">
        <v>31</v>
      </c>
      <c r="R75" s="4" t="s">
        <v>31</v>
      </c>
      <c r="S75" s="4" t="s">
        <v>31</v>
      </c>
      <c r="T75" s="4" t="s">
        <v>31</v>
      </c>
      <c r="U75" s="4" t="s">
        <v>31</v>
      </c>
      <c r="V75" s="4" t="s">
        <v>31</v>
      </c>
      <c r="W75" s="4" t="s">
        <v>31</v>
      </c>
      <c r="X75" s="4" t="s">
        <v>31</v>
      </c>
    </row>
    <row r="76" spans="1:24" s="4" customFormat="1" x14ac:dyDescent="0.2">
      <c r="A76" t="s">
        <v>196</v>
      </c>
      <c r="B76" t="s">
        <v>197</v>
      </c>
      <c r="C76" t="s">
        <v>26</v>
      </c>
      <c r="D76" t="s">
        <v>27</v>
      </c>
      <c r="E76" s="22" t="s">
        <v>28</v>
      </c>
      <c r="F76" s="24" t="s">
        <v>193</v>
      </c>
      <c r="G76" s="5">
        <f>COUNTIFS(TableFA21324[Project],TableFA21324[[#This Row],[Project]],TableFA21324[Program],TableFA21324[[#This Row],[Program]])</f>
        <v>5</v>
      </c>
      <c r="H76" s="5">
        <f>COUNTIFS(TableFA21324[Project],TableFA21324[[#This Row],[Project]])</f>
        <v>5</v>
      </c>
      <c r="K76" s="4" t="s">
        <v>31</v>
      </c>
      <c r="L76" s="4" t="s">
        <v>31</v>
      </c>
      <c r="M76" s="4" t="s">
        <v>31</v>
      </c>
      <c r="N76" s="4" t="s">
        <v>31</v>
      </c>
      <c r="O76" s="4" t="s">
        <v>31</v>
      </c>
      <c r="P76" s="4" t="s">
        <v>31</v>
      </c>
      <c r="Q76" s="4" t="s">
        <v>31</v>
      </c>
      <c r="R76" s="4" t="s">
        <v>31</v>
      </c>
      <c r="S76" s="4" t="s">
        <v>31</v>
      </c>
      <c r="T76" s="4" t="s">
        <v>31</v>
      </c>
      <c r="U76" s="4" t="s">
        <v>31</v>
      </c>
      <c r="V76" s="4" t="s">
        <v>31</v>
      </c>
      <c r="W76" s="4" t="s">
        <v>31</v>
      </c>
      <c r="X76" s="4" t="s">
        <v>31</v>
      </c>
    </row>
    <row r="77" spans="1:24" s="4" customFormat="1" x14ac:dyDescent="0.2">
      <c r="A77" t="s">
        <v>198</v>
      </c>
      <c r="B77" t="s">
        <v>199</v>
      </c>
      <c r="C77" t="s">
        <v>26</v>
      </c>
      <c r="D77" t="s">
        <v>27</v>
      </c>
      <c r="E77" s="22" t="s">
        <v>28</v>
      </c>
      <c r="F77" s="4" t="s">
        <v>193</v>
      </c>
      <c r="G77" s="5">
        <f>COUNTIFS(TableFA21324[Project],TableFA21324[[#This Row],[Project]],TableFA21324[Program],TableFA21324[[#This Row],[Program]])</f>
        <v>5</v>
      </c>
      <c r="H77" s="5">
        <f>COUNTIFS(TableFA21324[Project],TableFA21324[[#This Row],[Project]])</f>
        <v>5</v>
      </c>
      <c r="K77" s="4" t="s">
        <v>31</v>
      </c>
      <c r="L77" s="4" t="s">
        <v>31</v>
      </c>
      <c r="M77" s="4" t="s">
        <v>31</v>
      </c>
      <c r="N77" s="4" t="s">
        <v>31</v>
      </c>
      <c r="O77" s="4" t="s">
        <v>31</v>
      </c>
      <c r="P77" s="4" t="s">
        <v>31</v>
      </c>
      <c r="Q77" s="4" t="s">
        <v>31</v>
      </c>
      <c r="R77" s="4" t="s">
        <v>31</v>
      </c>
      <c r="S77" s="4" t="s">
        <v>31</v>
      </c>
      <c r="T77" s="4" t="s">
        <v>31</v>
      </c>
      <c r="U77" s="4" t="s">
        <v>31</v>
      </c>
      <c r="V77" s="4" t="s">
        <v>31</v>
      </c>
      <c r="W77" s="4" t="s">
        <v>31</v>
      </c>
      <c r="X77" s="4" t="s">
        <v>31</v>
      </c>
    </row>
    <row r="78" spans="1:24" s="4" customFormat="1" x14ac:dyDescent="0.2">
      <c r="A78" t="s">
        <v>200</v>
      </c>
      <c r="B78" t="s">
        <v>201</v>
      </c>
      <c r="C78" t="s">
        <v>26</v>
      </c>
      <c r="D78" t="s">
        <v>27</v>
      </c>
      <c r="E78" s="22" t="s">
        <v>28</v>
      </c>
      <c r="F78" s="4" t="s">
        <v>193</v>
      </c>
      <c r="G78" s="5">
        <f>COUNTIFS(TableFA21324[Project],TableFA21324[[#This Row],[Project]],TableFA21324[Program],TableFA21324[[#This Row],[Program]])</f>
        <v>5</v>
      </c>
      <c r="H78" s="5">
        <f>COUNTIFS(TableFA21324[Project],TableFA21324[[#This Row],[Project]])</f>
        <v>5</v>
      </c>
      <c r="K78" s="4" t="s">
        <v>31</v>
      </c>
      <c r="L78" s="4" t="s">
        <v>31</v>
      </c>
      <c r="M78" s="4" t="s">
        <v>31</v>
      </c>
      <c r="N78" s="4" t="s">
        <v>31</v>
      </c>
      <c r="O78" s="4" t="s">
        <v>31</v>
      </c>
      <c r="P78" s="4" t="s">
        <v>31</v>
      </c>
      <c r="Q78" s="4" t="s">
        <v>31</v>
      </c>
      <c r="R78" s="4" t="s">
        <v>31</v>
      </c>
      <c r="S78" s="4" t="s">
        <v>31</v>
      </c>
      <c r="T78" s="4" t="s">
        <v>31</v>
      </c>
      <c r="U78" s="4" t="s">
        <v>31</v>
      </c>
      <c r="V78" s="4" t="s">
        <v>31</v>
      </c>
      <c r="W78" s="4" t="s">
        <v>31</v>
      </c>
      <c r="X78" s="4" t="s">
        <v>31</v>
      </c>
    </row>
    <row r="79" spans="1:24" s="5" customFormat="1" x14ac:dyDescent="0.2">
      <c r="A79" s="20" t="s">
        <v>202</v>
      </c>
      <c r="B79" s="20" t="s">
        <v>203</v>
      </c>
      <c r="C79" s="20" t="s">
        <v>26</v>
      </c>
      <c r="D79" s="20" t="s">
        <v>27</v>
      </c>
      <c r="E79" s="22" t="s">
        <v>28</v>
      </c>
      <c r="F79" s="5" t="s">
        <v>204</v>
      </c>
      <c r="G79" s="5">
        <f>COUNTIFS(TableFA21324[Project],TableFA21324[[#This Row],[Project]],TableFA21324[Program],TableFA21324[[#This Row],[Program]])</f>
        <v>5</v>
      </c>
      <c r="H79" s="5">
        <f>COUNTIFS(TableFA21324[Project],TableFA21324[[#This Row],[Project]])</f>
        <v>5</v>
      </c>
      <c r="I79" s="8" t="s">
        <v>30</v>
      </c>
      <c r="K79" s="5" t="s">
        <v>31</v>
      </c>
      <c r="L79" s="5" t="s">
        <v>31</v>
      </c>
      <c r="M79" s="5" t="s">
        <v>31</v>
      </c>
      <c r="N79" s="5" t="s">
        <v>31</v>
      </c>
      <c r="O79" s="5" t="s">
        <v>31</v>
      </c>
      <c r="P79" s="5" t="s">
        <v>31</v>
      </c>
      <c r="Q79" s="5" t="s">
        <v>31</v>
      </c>
      <c r="R79" s="5" t="s">
        <v>31</v>
      </c>
      <c r="S79" s="5" t="s">
        <v>31</v>
      </c>
      <c r="T79" s="5" t="s">
        <v>31</v>
      </c>
      <c r="U79" s="5" t="s">
        <v>31</v>
      </c>
      <c r="V79" s="5" t="s">
        <v>31</v>
      </c>
      <c r="W79" s="5" t="s">
        <v>31</v>
      </c>
    </row>
    <row r="80" spans="1:24" s="4" customFormat="1" x14ac:dyDescent="0.2">
      <c r="A80" t="s">
        <v>205</v>
      </c>
      <c r="B80" t="s">
        <v>206</v>
      </c>
      <c r="C80" t="s">
        <v>26</v>
      </c>
      <c r="D80" t="s">
        <v>27</v>
      </c>
      <c r="E80" s="22" t="s">
        <v>28</v>
      </c>
      <c r="F80" s="4" t="s">
        <v>204</v>
      </c>
      <c r="G80" s="5">
        <f>COUNTIFS(TableFA21324[Project],TableFA21324[[#This Row],[Project]],TableFA21324[Program],TableFA21324[[#This Row],[Program]])</f>
        <v>5</v>
      </c>
      <c r="H80" s="5">
        <f>COUNTIFS(TableFA21324[Project],TableFA21324[[#This Row],[Project]])</f>
        <v>5</v>
      </c>
      <c r="K80" s="4" t="s">
        <v>31</v>
      </c>
      <c r="L80" s="4" t="s">
        <v>31</v>
      </c>
      <c r="M80" s="4" t="s">
        <v>31</v>
      </c>
      <c r="N80" s="4" t="s">
        <v>31</v>
      </c>
      <c r="O80" s="4" t="s">
        <v>31</v>
      </c>
      <c r="P80" s="4" t="s">
        <v>31</v>
      </c>
      <c r="Q80" s="4" t="s">
        <v>31</v>
      </c>
      <c r="R80" s="4" t="s">
        <v>31</v>
      </c>
      <c r="S80" s="4" t="s">
        <v>31</v>
      </c>
      <c r="T80" s="4" t="s">
        <v>31</v>
      </c>
      <c r="U80" s="4" t="s">
        <v>31</v>
      </c>
      <c r="V80" s="4" t="s">
        <v>31</v>
      </c>
      <c r="W80" s="4" t="s">
        <v>31</v>
      </c>
    </row>
    <row r="81" spans="1:24" s="4" customFormat="1" x14ac:dyDescent="0.2">
      <c r="A81" t="s">
        <v>207</v>
      </c>
      <c r="B81" t="s">
        <v>208</v>
      </c>
      <c r="C81" t="s">
        <v>26</v>
      </c>
      <c r="D81" t="s">
        <v>27</v>
      </c>
      <c r="E81" s="22" t="s">
        <v>28</v>
      </c>
      <c r="F81" s="4" t="s">
        <v>204</v>
      </c>
      <c r="G81" s="5">
        <f>COUNTIFS(TableFA21324[Project],TableFA21324[[#This Row],[Project]],TableFA21324[Program],TableFA21324[[#This Row],[Program]])</f>
        <v>5</v>
      </c>
      <c r="H81" s="5">
        <f>COUNTIFS(TableFA21324[Project],TableFA21324[[#This Row],[Project]])</f>
        <v>5</v>
      </c>
      <c r="K81" s="4" t="s">
        <v>31</v>
      </c>
      <c r="L81" s="4" t="s">
        <v>31</v>
      </c>
      <c r="M81" s="4" t="s">
        <v>31</v>
      </c>
      <c r="N81" s="4" t="s">
        <v>31</v>
      </c>
      <c r="O81" s="4" t="s">
        <v>31</v>
      </c>
      <c r="P81" s="4" t="s">
        <v>31</v>
      </c>
      <c r="Q81" s="4" t="s">
        <v>31</v>
      </c>
      <c r="R81" s="4" t="s">
        <v>31</v>
      </c>
      <c r="S81" s="4" t="s">
        <v>31</v>
      </c>
      <c r="T81" s="4" t="s">
        <v>31</v>
      </c>
      <c r="U81" s="4" t="s">
        <v>31</v>
      </c>
      <c r="V81" s="4" t="s">
        <v>31</v>
      </c>
      <c r="W81" s="4" t="s">
        <v>31</v>
      </c>
    </row>
    <row r="82" spans="1:24" s="4" customFormat="1" x14ac:dyDescent="0.2">
      <c r="A82" t="s">
        <v>209</v>
      </c>
      <c r="B82" t="s">
        <v>210</v>
      </c>
      <c r="C82" t="s">
        <v>26</v>
      </c>
      <c r="D82" t="s">
        <v>27</v>
      </c>
      <c r="E82" s="22" t="s">
        <v>28</v>
      </c>
      <c r="F82" s="4" t="s">
        <v>204</v>
      </c>
      <c r="G82" s="5">
        <f>COUNTIFS(TableFA21324[Project],TableFA21324[[#This Row],[Project]],TableFA21324[Program],TableFA21324[[#This Row],[Program]])</f>
        <v>5</v>
      </c>
      <c r="H82" s="5">
        <f>COUNTIFS(TableFA21324[Project],TableFA21324[[#This Row],[Project]])</f>
        <v>5</v>
      </c>
      <c r="K82" s="4" t="s">
        <v>31</v>
      </c>
      <c r="L82" s="4" t="s">
        <v>31</v>
      </c>
      <c r="M82" s="4" t="s">
        <v>31</v>
      </c>
      <c r="N82" s="4" t="s">
        <v>31</v>
      </c>
      <c r="O82" s="4" t="s">
        <v>31</v>
      </c>
      <c r="P82" s="4" t="s">
        <v>31</v>
      </c>
      <c r="Q82" s="4" t="s">
        <v>31</v>
      </c>
      <c r="R82" s="4" t="s">
        <v>31</v>
      </c>
      <c r="S82" s="4" t="s">
        <v>31</v>
      </c>
      <c r="T82" s="4" t="s">
        <v>31</v>
      </c>
      <c r="U82" s="4" t="s">
        <v>31</v>
      </c>
      <c r="V82" s="4" t="s">
        <v>31</v>
      </c>
      <c r="W82" s="4" t="s">
        <v>31</v>
      </c>
    </row>
    <row r="83" spans="1:24" s="4" customFormat="1" x14ac:dyDescent="0.2">
      <c r="A83" t="s">
        <v>211</v>
      </c>
      <c r="B83" t="s">
        <v>212</v>
      </c>
      <c r="C83" t="s">
        <v>26</v>
      </c>
      <c r="D83" t="s">
        <v>27</v>
      </c>
      <c r="E83" s="22" t="s">
        <v>28</v>
      </c>
      <c r="F83" s="4" t="s">
        <v>204</v>
      </c>
      <c r="G83" s="5">
        <f>COUNTIFS(TableFA21324[Project],TableFA21324[[#This Row],[Project]],TableFA21324[Program],TableFA21324[[#This Row],[Program]])</f>
        <v>5</v>
      </c>
      <c r="H83" s="5">
        <f>COUNTIFS(TableFA21324[Project],TableFA21324[[#This Row],[Project]])</f>
        <v>5</v>
      </c>
      <c r="K83" s="4" t="s">
        <v>31</v>
      </c>
      <c r="L83" s="4" t="s">
        <v>31</v>
      </c>
      <c r="M83" s="4" t="s">
        <v>31</v>
      </c>
      <c r="N83" s="4" t="s">
        <v>31</v>
      </c>
      <c r="O83" s="4" t="s">
        <v>31</v>
      </c>
      <c r="P83" s="4" t="s">
        <v>31</v>
      </c>
      <c r="Q83" s="4" t="s">
        <v>31</v>
      </c>
      <c r="R83" s="4" t="s">
        <v>31</v>
      </c>
      <c r="S83" s="4" t="s">
        <v>31</v>
      </c>
      <c r="T83" s="4" t="s">
        <v>31</v>
      </c>
      <c r="U83" s="4" t="s">
        <v>31</v>
      </c>
      <c r="V83" s="4" t="s">
        <v>31</v>
      </c>
      <c r="W83" s="4" t="s">
        <v>31</v>
      </c>
    </row>
    <row r="84" spans="1:24" s="4" customFormat="1" x14ac:dyDescent="0.2">
      <c r="A84" s="20" t="s">
        <v>213</v>
      </c>
      <c r="B84" s="20" t="s">
        <v>213</v>
      </c>
      <c r="C84" s="20" t="s">
        <v>26</v>
      </c>
      <c r="D84" s="20" t="s">
        <v>27</v>
      </c>
      <c r="E84" s="22" t="s">
        <v>28</v>
      </c>
      <c r="F84" s="5" t="s">
        <v>214</v>
      </c>
      <c r="G84" s="5">
        <f>COUNTIFS(TableFA21324[Project],TableFA21324[[#This Row],[Project]],TableFA21324[Program],TableFA21324[[#This Row],[Program]])</f>
        <v>5</v>
      </c>
      <c r="H84" s="5">
        <f>COUNTIFS(TableFA21324[Project],TableFA21324[[#This Row],[Project]])</f>
        <v>5</v>
      </c>
      <c r="I84" s="5" t="s">
        <v>30</v>
      </c>
      <c r="J84" s="5"/>
      <c r="K84" s="5" t="s">
        <v>31</v>
      </c>
      <c r="L84" s="5" t="s">
        <v>31</v>
      </c>
      <c r="M84" s="5" t="s">
        <v>91</v>
      </c>
      <c r="N84" s="5" t="s">
        <v>91</v>
      </c>
      <c r="O84" s="5" t="s">
        <v>31</v>
      </c>
      <c r="P84" s="5" t="s">
        <v>31</v>
      </c>
      <c r="Q84" s="5" t="s">
        <v>31</v>
      </c>
      <c r="R84" s="5" t="s">
        <v>31</v>
      </c>
      <c r="S84" s="5" t="s">
        <v>31</v>
      </c>
      <c r="T84" s="5" t="s">
        <v>31</v>
      </c>
      <c r="U84" s="5" t="s">
        <v>31</v>
      </c>
      <c r="V84" s="5" t="s">
        <v>31</v>
      </c>
      <c r="W84" s="5" t="s">
        <v>31</v>
      </c>
      <c r="X84" s="5" t="s">
        <v>31</v>
      </c>
    </row>
    <row r="85" spans="1:24" s="4" customFormat="1" x14ac:dyDescent="0.2">
      <c r="A85" t="s">
        <v>215</v>
      </c>
      <c r="B85" t="s">
        <v>216</v>
      </c>
      <c r="C85" t="s">
        <v>26</v>
      </c>
      <c r="D85" t="s">
        <v>27</v>
      </c>
      <c r="E85" s="22" t="s">
        <v>28</v>
      </c>
      <c r="F85" s="4" t="s">
        <v>214</v>
      </c>
      <c r="G85" s="5">
        <f>COUNTIFS(TableFA21324[Project],TableFA21324[[#This Row],[Project]],TableFA21324[Program],TableFA21324[[#This Row],[Program]])</f>
        <v>5</v>
      </c>
      <c r="H85" s="5">
        <f>COUNTIFS(TableFA21324[Project],TableFA21324[[#This Row],[Project]])</f>
        <v>5</v>
      </c>
      <c r="K85" s="4" t="s">
        <v>31</v>
      </c>
      <c r="L85" s="4" t="s">
        <v>31</v>
      </c>
      <c r="M85" s="4" t="s">
        <v>91</v>
      </c>
      <c r="N85" s="4" t="s">
        <v>91</v>
      </c>
      <c r="O85" s="4" t="s">
        <v>31</v>
      </c>
      <c r="P85" s="4" t="s">
        <v>31</v>
      </c>
      <c r="Q85" s="4" t="s">
        <v>31</v>
      </c>
      <c r="R85" s="4" t="s">
        <v>31</v>
      </c>
      <c r="S85" s="4" t="s">
        <v>31</v>
      </c>
      <c r="T85" s="4" t="s">
        <v>31</v>
      </c>
      <c r="U85" s="4" t="s">
        <v>31</v>
      </c>
      <c r="V85" s="4" t="s">
        <v>31</v>
      </c>
      <c r="W85" s="4" t="s">
        <v>31</v>
      </c>
      <c r="X85" s="4" t="s">
        <v>31</v>
      </c>
    </row>
    <row r="86" spans="1:24" s="4" customFormat="1" x14ac:dyDescent="0.2">
      <c r="A86" t="s">
        <v>217</v>
      </c>
      <c r="B86" t="s">
        <v>218</v>
      </c>
      <c r="C86" t="s">
        <v>26</v>
      </c>
      <c r="D86" t="s">
        <v>27</v>
      </c>
      <c r="E86" s="22" t="s">
        <v>28</v>
      </c>
      <c r="F86" s="4" t="s">
        <v>214</v>
      </c>
      <c r="G86" s="5">
        <f>COUNTIFS(TableFA21324[Project],TableFA21324[[#This Row],[Project]],TableFA21324[Program],TableFA21324[[#This Row],[Program]])</f>
        <v>5</v>
      </c>
      <c r="H86" s="5">
        <f>COUNTIFS(TableFA21324[Project],TableFA21324[[#This Row],[Project]])</f>
        <v>5</v>
      </c>
      <c r="K86" s="4" t="s">
        <v>31</v>
      </c>
      <c r="L86" s="4" t="s">
        <v>31</v>
      </c>
      <c r="M86" s="4" t="s">
        <v>91</v>
      </c>
      <c r="N86" s="4" t="s">
        <v>91</v>
      </c>
      <c r="O86" s="4" t="s">
        <v>219</v>
      </c>
      <c r="P86" s="4" t="s">
        <v>31</v>
      </c>
      <c r="Q86" s="4" t="s">
        <v>31</v>
      </c>
      <c r="R86" s="4" t="s">
        <v>31</v>
      </c>
      <c r="S86" s="4" t="s">
        <v>31</v>
      </c>
      <c r="T86" s="4" t="s">
        <v>91</v>
      </c>
      <c r="U86" s="4" t="s">
        <v>91</v>
      </c>
      <c r="V86" s="4" t="s">
        <v>91</v>
      </c>
      <c r="W86" s="4" t="s">
        <v>31</v>
      </c>
      <c r="X86" s="4" t="s">
        <v>31</v>
      </c>
    </row>
    <row r="87" spans="1:24" s="4" customFormat="1" x14ac:dyDescent="0.2">
      <c r="A87" t="s">
        <v>220</v>
      </c>
      <c r="B87" t="s">
        <v>221</v>
      </c>
      <c r="C87" t="s">
        <v>26</v>
      </c>
      <c r="D87" t="s">
        <v>27</v>
      </c>
      <c r="E87" s="22" t="s">
        <v>28</v>
      </c>
      <c r="F87" s="4" t="s">
        <v>214</v>
      </c>
      <c r="G87" s="5">
        <f>COUNTIFS(TableFA21324[Project],TableFA21324[[#This Row],[Project]],TableFA21324[Program],TableFA21324[[#This Row],[Program]])</f>
        <v>5</v>
      </c>
      <c r="H87" s="5">
        <f>COUNTIFS(TableFA21324[Project],TableFA21324[[#This Row],[Project]])</f>
        <v>5</v>
      </c>
      <c r="K87" s="4" t="s">
        <v>31</v>
      </c>
      <c r="L87" s="4" t="s">
        <v>31</v>
      </c>
      <c r="M87" s="4" t="s">
        <v>91</v>
      </c>
      <c r="N87" s="4" t="s">
        <v>91</v>
      </c>
      <c r="O87" s="4" t="s">
        <v>31</v>
      </c>
      <c r="P87" s="4" t="s">
        <v>31</v>
      </c>
      <c r="Q87" s="4" t="s">
        <v>31</v>
      </c>
      <c r="R87" s="4" t="s">
        <v>31</v>
      </c>
      <c r="S87" s="4" t="s">
        <v>31</v>
      </c>
      <c r="T87" s="4" t="s">
        <v>91</v>
      </c>
      <c r="U87" s="4" t="s">
        <v>31</v>
      </c>
      <c r="V87" s="4" t="s">
        <v>31</v>
      </c>
      <c r="W87" s="4" t="s">
        <v>31</v>
      </c>
      <c r="X87" s="4" t="s">
        <v>31</v>
      </c>
    </row>
    <row r="88" spans="1:24" s="4" customFormat="1" x14ac:dyDescent="0.2">
      <c r="A88" t="s">
        <v>222</v>
      </c>
      <c r="B88" t="s">
        <v>223</v>
      </c>
      <c r="C88" t="s">
        <v>26</v>
      </c>
      <c r="D88" t="s">
        <v>27</v>
      </c>
      <c r="E88" s="22" t="s">
        <v>28</v>
      </c>
      <c r="F88" s="4" t="s">
        <v>214</v>
      </c>
      <c r="G88" s="5">
        <f>COUNTIFS(TableFA21324[Project],TableFA21324[[#This Row],[Project]],TableFA21324[Program],TableFA21324[[#This Row],[Program]])</f>
        <v>5</v>
      </c>
      <c r="H88" s="5">
        <f>COUNTIFS(TableFA21324[Project],TableFA21324[[#This Row],[Project]])</f>
        <v>5</v>
      </c>
      <c r="K88" s="4" t="s">
        <v>31</v>
      </c>
      <c r="L88" s="4" t="s">
        <v>31</v>
      </c>
      <c r="M88" s="4" t="s">
        <v>91</v>
      </c>
      <c r="N88" s="4" t="s">
        <v>91</v>
      </c>
      <c r="O88" s="4" t="s">
        <v>31</v>
      </c>
      <c r="P88" s="4" t="s">
        <v>31</v>
      </c>
      <c r="Q88" s="4" t="s">
        <v>31</v>
      </c>
      <c r="R88" s="4" t="s">
        <v>31</v>
      </c>
      <c r="S88" s="4" t="s">
        <v>31</v>
      </c>
      <c r="T88" s="4" t="s">
        <v>31</v>
      </c>
      <c r="U88" s="4" t="s">
        <v>31</v>
      </c>
      <c r="V88" s="4" t="s">
        <v>31</v>
      </c>
      <c r="W88" s="4" t="s">
        <v>31</v>
      </c>
      <c r="X88" s="4" t="s">
        <v>31</v>
      </c>
    </row>
    <row r="89" spans="1:24" s="4" customFormat="1" x14ac:dyDescent="0.2">
      <c r="A89" s="20" t="s">
        <v>224</v>
      </c>
      <c r="B89" s="20" t="s">
        <v>225</v>
      </c>
      <c r="C89" s="20" t="s">
        <v>26</v>
      </c>
      <c r="D89" s="20" t="s">
        <v>27</v>
      </c>
      <c r="E89" s="22" t="s">
        <v>28</v>
      </c>
      <c r="F89" s="5" t="s">
        <v>226</v>
      </c>
      <c r="G89" s="5">
        <f>COUNTIFS(TableFA21324[Project],TableFA21324[[#This Row],[Project]],TableFA21324[Program],TableFA21324[[#This Row],[Program]])</f>
        <v>4</v>
      </c>
      <c r="H89" s="5">
        <f>COUNTIFS(TableFA21324[Project],TableFA21324[[#This Row],[Project]])</f>
        <v>4</v>
      </c>
      <c r="I89" s="5" t="s">
        <v>30</v>
      </c>
      <c r="K89" s="5" t="s">
        <v>31</v>
      </c>
      <c r="L89" s="5" t="s">
        <v>31</v>
      </c>
      <c r="M89" s="5" t="s">
        <v>31</v>
      </c>
      <c r="N89" s="5" t="s">
        <v>31</v>
      </c>
      <c r="O89" s="5" t="s">
        <v>31</v>
      </c>
      <c r="P89" s="5" t="s">
        <v>31</v>
      </c>
      <c r="Q89" s="5" t="s">
        <v>31</v>
      </c>
      <c r="R89" s="5" t="s">
        <v>31</v>
      </c>
      <c r="S89" s="5" t="s">
        <v>31</v>
      </c>
      <c r="T89" s="5" t="s">
        <v>31</v>
      </c>
      <c r="U89" s="5" t="s">
        <v>31</v>
      </c>
      <c r="V89" s="5" t="s">
        <v>31</v>
      </c>
      <c r="W89" s="5" t="s">
        <v>31</v>
      </c>
      <c r="X89" s="5" t="s">
        <v>31</v>
      </c>
    </row>
    <row r="90" spans="1:24" s="4" customFormat="1" x14ac:dyDescent="0.2">
      <c r="A90" t="s">
        <v>227</v>
      </c>
      <c r="B90" t="s">
        <v>228</v>
      </c>
      <c r="C90" t="s">
        <v>26</v>
      </c>
      <c r="D90" t="s">
        <v>27</v>
      </c>
      <c r="E90" s="22" t="s">
        <v>28</v>
      </c>
      <c r="F90" s="4" t="s">
        <v>226</v>
      </c>
      <c r="G90" s="5">
        <f>COUNTIFS(TableFA21324[Project],TableFA21324[[#This Row],[Project]],TableFA21324[Program],TableFA21324[[#This Row],[Program]])</f>
        <v>4</v>
      </c>
      <c r="H90" s="5">
        <f>COUNTIFS(TableFA21324[Project],TableFA21324[[#This Row],[Project]])</f>
        <v>4</v>
      </c>
      <c r="K90" s="4" t="s">
        <v>31</v>
      </c>
      <c r="L90" s="4" t="s">
        <v>31</v>
      </c>
      <c r="M90" s="4" t="s">
        <v>31</v>
      </c>
      <c r="N90" s="4" t="s">
        <v>31</v>
      </c>
      <c r="O90" s="4" t="s">
        <v>31</v>
      </c>
      <c r="P90" s="4" t="s">
        <v>31</v>
      </c>
      <c r="Q90" s="4" t="s">
        <v>31</v>
      </c>
      <c r="R90" s="4" t="s">
        <v>31</v>
      </c>
      <c r="S90" s="4" t="s">
        <v>31</v>
      </c>
      <c r="T90" s="4" t="s">
        <v>31</v>
      </c>
      <c r="U90" s="4" t="s">
        <v>31</v>
      </c>
      <c r="V90" s="4" t="s">
        <v>31</v>
      </c>
      <c r="W90" s="4" t="s">
        <v>31</v>
      </c>
      <c r="X90" s="4" t="s">
        <v>31</v>
      </c>
    </row>
    <row r="91" spans="1:24" s="4" customFormat="1" x14ac:dyDescent="0.2">
      <c r="A91" t="s">
        <v>229</v>
      </c>
      <c r="B91" t="s">
        <v>230</v>
      </c>
      <c r="C91" t="s">
        <v>26</v>
      </c>
      <c r="D91" t="s">
        <v>27</v>
      </c>
      <c r="E91" s="22" t="s">
        <v>28</v>
      </c>
      <c r="F91" s="4" t="s">
        <v>226</v>
      </c>
      <c r="G91" s="5">
        <f>COUNTIFS(TableFA21324[Project],TableFA21324[[#This Row],[Project]],TableFA21324[Program],TableFA21324[[#This Row],[Program]])</f>
        <v>4</v>
      </c>
      <c r="H91" s="5">
        <f>COUNTIFS(TableFA21324[Project],TableFA21324[[#This Row],[Project]])</f>
        <v>4</v>
      </c>
      <c r="K91" s="4" t="s">
        <v>31</v>
      </c>
      <c r="L91" s="4" t="s">
        <v>31</v>
      </c>
      <c r="M91" s="4" t="s">
        <v>31</v>
      </c>
      <c r="N91" s="4" t="s">
        <v>31</v>
      </c>
      <c r="O91" s="4" t="s">
        <v>31</v>
      </c>
      <c r="P91" s="4" t="s">
        <v>31</v>
      </c>
      <c r="Q91" s="4" t="s">
        <v>31</v>
      </c>
      <c r="R91" s="4" t="s">
        <v>31</v>
      </c>
      <c r="S91" s="4" t="s">
        <v>31</v>
      </c>
      <c r="T91" s="4" t="s">
        <v>31</v>
      </c>
      <c r="U91" s="4" t="s">
        <v>31</v>
      </c>
      <c r="V91" s="4" t="s">
        <v>31</v>
      </c>
      <c r="W91" s="4" t="s">
        <v>31</v>
      </c>
      <c r="X91" s="4" t="s">
        <v>31</v>
      </c>
    </row>
    <row r="92" spans="1:24" s="4" customFormat="1" x14ac:dyDescent="0.2">
      <c r="A92" t="s">
        <v>231</v>
      </c>
      <c r="B92" t="s">
        <v>232</v>
      </c>
      <c r="C92" t="s">
        <v>26</v>
      </c>
      <c r="D92" t="s">
        <v>27</v>
      </c>
      <c r="E92" s="22" t="s">
        <v>28</v>
      </c>
      <c r="F92" s="6" t="s">
        <v>226</v>
      </c>
      <c r="G92" s="5">
        <f>COUNTIFS(TableFA21324[Project],TableFA21324[[#This Row],[Project]],TableFA21324[Program],TableFA21324[[#This Row],[Program]])</f>
        <v>4</v>
      </c>
      <c r="H92" s="5">
        <f>COUNTIFS(TableFA21324[Project],TableFA21324[[#This Row],[Project]])</f>
        <v>4</v>
      </c>
      <c r="K92" s="4" t="s">
        <v>31</v>
      </c>
      <c r="L92" s="4" t="s">
        <v>31</v>
      </c>
      <c r="M92" s="4" t="s">
        <v>31</v>
      </c>
      <c r="N92" s="4" t="s">
        <v>31</v>
      </c>
      <c r="O92" s="4" t="s">
        <v>31</v>
      </c>
      <c r="P92" s="4" t="s">
        <v>31</v>
      </c>
      <c r="Q92" s="4" t="s">
        <v>31</v>
      </c>
      <c r="R92" s="4" t="s">
        <v>31</v>
      </c>
      <c r="S92" s="4" t="s">
        <v>31</v>
      </c>
      <c r="T92" s="4" t="s">
        <v>31</v>
      </c>
      <c r="U92" s="4" t="s">
        <v>31</v>
      </c>
      <c r="V92" s="4" t="s">
        <v>31</v>
      </c>
      <c r="W92" s="4" t="s">
        <v>31</v>
      </c>
      <c r="X92" s="4" t="s">
        <v>31</v>
      </c>
    </row>
    <row r="93" spans="1:24" s="4" customFormat="1" x14ac:dyDescent="0.2">
      <c r="A93" s="20" t="s">
        <v>233</v>
      </c>
      <c r="B93" s="20" t="s">
        <v>234</v>
      </c>
      <c r="C93" s="20" t="s">
        <v>26</v>
      </c>
      <c r="D93" s="20" t="s">
        <v>54</v>
      </c>
      <c r="E93" s="22" t="s">
        <v>28</v>
      </c>
      <c r="F93" s="5" t="s">
        <v>235</v>
      </c>
      <c r="G93" s="5">
        <f>COUNTIFS(TableFA21324[Project],TableFA21324[[#This Row],[Project]],TableFA21324[Program],TableFA21324[[#This Row],[Program]])</f>
        <v>4</v>
      </c>
      <c r="H93" s="5">
        <f>COUNTIFS(TableFA21324[Project],TableFA21324[[#This Row],[Project]])</f>
        <v>4</v>
      </c>
      <c r="I93" s="5" t="s">
        <v>30</v>
      </c>
      <c r="J93" s="5"/>
      <c r="K93" s="5" t="s">
        <v>31</v>
      </c>
      <c r="L93" s="5" t="s">
        <v>31</v>
      </c>
      <c r="M93" s="5" t="s">
        <v>31</v>
      </c>
      <c r="N93" s="5" t="s">
        <v>31</v>
      </c>
      <c r="O93" s="5" t="s">
        <v>31</v>
      </c>
      <c r="P93" s="5" t="s">
        <v>31</v>
      </c>
      <c r="Q93" s="5" t="s">
        <v>31</v>
      </c>
      <c r="R93" s="5" t="s">
        <v>31</v>
      </c>
      <c r="S93" s="5" t="s">
        <v>31</v>
      </c>
      <c r="T93" s="5" t="s">
        <v>31</v>
      </c>
      <c r="U93" s="5" t="s">
        <v>31</v>
      </c>
      <c r="V93" s="5" t="s">
        <v>31</v>
      </c>
      <c r="W93" s="5" t="s">
        <v>31</v>
      </c>
      <c r="X93" s="5" t="s">
        <v>31</v>
      </c>
    </row>
    <row r="94" spans="1:24" s="4" customFormat="1" x14ac:dyDescent="0.2">
      <c r="A94" t="s">
        <v>236</v>
      </c>
      <c r="B94" t="s">
        <v>237</v>
      </c>
      <c r="C94" t="s">
        <v>26</v>
      </c>
      <c r="D94" t="s">
        <v>54</v>
      </c>
      <c r="E94" s="22" t="s">
        <v>28</v>
      </c>
      <c r="F94" s="4" t="s">
        <v>235</v>
      </c>
      <c r="G94" s="5">
        <f>COUNTIFS(TableFA21324[Project],TableFA21324[[#This Row],[Project]],TableFA21324[Program],TableFA21324[[#This Row],[Program]])</f>
        <v>4</v>
      </c>
      <c r="H94" s="5">
        <f>COUNTIFS(TableFA21324[Project],TableFA21324[[#This Row],[Project]])</f>
        <v>4</v>
      </c>
      <c r="K94" s="4" t="s">
        <v>31</v>
      </c>
      <c r="L94" s="4" t="s">
        <v>31</v>
      </c>
      <c r="M94" s="4" t="s">
        <v>31</v>
      </c>
      <c r="N94" s="4" t="s">
        <v>31</v>
      </c>
      <c r="O94" s="4" t="s">
        <v>31</v>
      </c>
      <c r="P94" s="4" t="s">
        <v>31</v>
      </c>
      <c r="Q94" s="4" t="s">
        <v>31</v>
      </c>
      <c r="R94" s="4" t="s">
        <v>31</v>
      </c>
      <c r="S94" s="4" t="s">
        <v>31</v>
      </c>
      <c r="T94" s="4" t="s">
        <v>31</v>
      </c>
      <c r="U94" s="4" t="s">
        <v>31</v>
      </c>
      <c r="V94" s="4" t="s">
        <v>31</v>
      </c>
      <c r="W94" s="4" t="s">
        <v>31</v>
      </c>
      <c r="X94" s="4" t="s">
        <v>31</v>
      </c>
    </row>
    <row r="95" spans="1:24" s="4" customFormat="1" x14ac:dyDescent="0.2">
      <c r="A95" t="s">
        <v>238</v>
      </c>
      <c r="B95" t="s">
        <v>239</v>
      </c>
      <c r="C95" t="s">
        <v>26</v>
      </c>
      <c r="D95" t="s">
        <v>54</v>
      </c>
      <c r="E95" s="22" t="s">
        <v>28</v>
      </c>
      <c r="F95" s="4" t="s">
        <v>235</v>
      </c>
      <c r="G95" s="5">
        <f>COUNTIFS(TableFA21324[Project],TableFA21324[[#This Row],[Project]],TableFA21324[Program],TableFA21324[[#This Row],[Program]])</f>
        <v>4</v>
      </c>
      <c r="H95" s="5">
        <f>COUNTIFS(TableFA21324[Project],TableFA21324[[#This Row],[Project]])</f>
        <v>4</v>
      </c>
      <c r="K95" s="4" t="s">
        <v>31</v>
      </c>
      <c r="L95" s="4" t="s">
        <v>31</v>
      </c>
      <c r="M95" s="4" t="s">
        <v>31</v>
      </c>
      <c r="N95" s="4" t="s">
        <v>31</v>
      </c>
      <c r="O95" s="4" t="s">
        <v>31</v>
      </c>
      <c r="P95" s="4" t="s">
        <v>31</v>
      </c>
      <c r="Q95" s="4" t="s">
        <v>31</v>
      </c>
      <c r="R95" s="4" t="s">
        <v>31</v>
      </c>
      <c r="S95" s="4" t="s">
        <v>31</v>
      </c>
      <c r="T95" s="4" t="s">
        <v>31</v>
      </c>
      <c r="U95" s="4" t="s">
        <v>31</v>
      </c>
      <c r="V95" s="4" t="s">
        <v>31</v>
      </c>
      <c r="W95" s="4" t="s">
        <v>31</v>
      </c>
      <c r="X95" s="4" t="s">
        <v>31</v>
      </c>
    </row>
    <row r="96" spans="1:24" s="4" customFormat="1" x14ac:dyDescent="0.2">
      <c r="A96" t="s">
        <v>240</v>
      </c>
      <c r="B96" t="s">
        <v>241</v>
      </c>
      <c r="C96" t="s">
        <v>26</v>
      </c>
      <c r="D96" t="s">
        <v>54</v>
      </c>
      <c r="E96" s="22" t="s">
        <v>28</v>
      </c>
      <c r="F96" s="4" t="s">
        <v>235</v>
      </c>
      <c r="G96" s="5">
        <f>COUNTIFS(TableFA21324[Project],TableFA21324[[#This Row],[Project]],TableFA21324[Program],TableFA21324[[#This Row],[Program]])</f>
        <v>4</v>
      </c>
      <c r="H96" s="5">
        <f>COUNTIFS(TableFA21324[Project],TableFA21324[[#This Row],[Project]])</f>
        <v>4</v>
      </c>
      <c r="K96" s="4" t="s">
        <v>31</v>
      </c>
      <c r="L96" s="4" t="s">
        <v>31</v>
      </c>
      <c r="M96" s="4" t="s">
        <v>31</v>
      </c>
      <c r="N96" s="4" t="s">
        <v>31</v>
      </c>
      <c r="O96" s="4" t="s">
        <v>31</v>
      </c>
      <c r="P96" s="4" t="s">
        <v>31</v>
      </c>
      <c r="Q96" s="4" t="s">
        <v>31</v>
      </c>
      <c r="R96" s="4" t="s">
        <v>31</v>
      </c>
      <c r="S96" s="4" t="s">
        <v>31</v>
      </c>
      <c r="T96" s="4" t="s">
        <v>31</v>
      </c>
      <c r="U96" s="4" t="s">
        <v>31</v>
      </c>
      <c r="V96" s="4" t="s">
        <v>31</v>
      </c>
      <c r="W96" s="4" t="s">
        <v>31</v>
      </c>
      <c r="X96" s="4" t="s">
        <v>31</v>
      </c>
    </row>
    <row r="97" spans="1:24" s="4" customFormat="1" x14ac:dyDescent="0.2">
      <c r="A97" s="20" t="s">
        <v>242</v>
      </c>
      <c r="B97" s="20" t="s">
        <v>243</v>
      </c>
      <c r="C97" s="20" t="s">
        <v>26</v>
      </c>
      <c r="D97" s="20" t="s">
        <v>27</v>
      </c>
      <c r="E97" s="22" t="s">
        <v>28</v>
      </c>
      <c r="F97" s="5" t="s">
        <v>244</v>
      </c>
      <c r="G97" s="5">
        <f>COUNTIFS(TableFA21324[Project],TableFA21324[[#This Row],[Project]],TableFA21324[Program],TableFA21324[[#This Row],[Program]])</f>
        <v>5</v>
      </c>
      <c r="H97" s="5">
        <f>COUNTIFS(TableFA21324[Project],TableFA21324[[#This Row],[Project]])</f>
        <v>5</v>
      </c>
      <c r="I97" s="5" t="s">
        <v>30</v>
      </c>
      <c r="K97" s="5" t="s">
        <v>31</v>
      </c>
      <c r="L97" s="5" t="s">
        <v>31</v>
      </c>
      <c r="M97" s="5" t="s">
        <v>31</v>
      </c>
      <c r="N97" s="5" t="s">
        <v>31</v>
      </c>
      <c r="O97" s="5" t="s">
        <v>31</v>
      </c>
      <c r="P97" s="5" t="s">
        <v>31</v>
      </c>
      <c r="Q97" s="5" t="s">
        <v>31</v>
      </c>
      <c r="R97" s="5" t="s">
        <v>31</v>
      </c>
      <c r="S97" s="5" t="s">
        <v>31</v>
      </c>
      <c r="T97" s="5" t="s">
        <v>31</v>
      </c>
      <c r="U97" s="5" t="s">
        <v>31</v>
      </c>
      <c r="V97" s="5" t="s">
        <v>31</v>
      </c>
      <c r="W97" s="5" t="s">
        <v>31</v>
      </c>
      <c r="X97" s="5" t="s">
        <v>31</v>
      </c>
    </row>
    <row r="98" spans="1:24" s="4" customFormat="1" x14ac:dyDescent="0.2">
      <c r="A98" t="s">
        <v>245</v>
      </c>
      <c r="B98" t="s">
        <v>246</v>
      </c>
      <c r="C98" t="s">
        <v>26</v>
      </c>
      <c r="D98" t="s">
        <v>27</v>
      </c>
      <c r="E98" s="22" t="s">
        <v>28</v>
      </c>
      <c r="F98" s="4" t="s">
        <v>244</v>
      </c>
      <c r="G98" s="5">
        <f>COUNTIFS(TableFA21324[Project],TableFA21324[[#This Row],[Project]],TableFA21324[Program],TableFA21324[[#This Row],[Program]])</f>
        <v>5</v>
      </c>
      <c r="H98" s="5">
        <f>COUNTIFS(TableFA21324[Project],TableFA21324[[#This Row],[Project]])</f>
        <v>5</v>
      </c>
      <c r="K98" s="4" t="s">
        <v>31</v>
      </c>
      <c r="L98" s="4" t="s">
        <v>31</v>
      </c>
      <c r="M98" s="25" t="s">
        <v>31</v>
      </c>
      <c r="N98" s="25" t="s">
        <v>31</v>
      </c>
      <c r="O98" s="25" t="s">
        <v>31</v>
      </c>
      <c r="P98" s="25" t="s">
        <v>31</v>
      </c>
      <c r="Q98" s="25" t="s">
        <v>31</v>
      </c>
      <c r="R98" s="25" t="s">
        <v>31</v>
      </c>
      <c r="S98" s="25" t="s">
        <v>31</v>
      </c>
      <c r="T98" s="25" t="s">
        <v>31</v>
      </c>
      <c r="U98" s="25" t="s">
        <v>31</v>
      </c>
      <c r="V98" s="25" t="s">
        <v>31</v>
      </c>
      <c r="W98" s="25" t="s">
        <v>31</v>
      </c>
      <c r="X98" s="25" t="s">
        <v>31</v>
      </c>
    </row>
    <row r="99" spans="1:24" s="4" customFormat="1" x14ac:dyDescent="0.2">
      <c r="A99" t="s">
        <v>247</v>
      </c>
      <c r="B99" t="s">
        <v>248</v>
      </c>
      <c r="C99" t="s">
        <v>26</v>
      </c>
      <c r="D99" t="s">
        <v>27</v>
      </c>
      <c r="E99" s="22" t="s">
        <v>28</v>
      </c>
      <c r="F99" s="4" t="s">
        <v>244</v>
      </c>
      <c r="G99" s="5">
        <f>COUNTIFS(TableFA21324[Project],TableFA21324[[#This Row],[Project]],TableFA21324[Program],TableFA21324[[#This Row],[Program]])</f>
        <v>5</v>
      </c>
      <c r="H99" s="5">
        <f>COUNTIFS(TableFA21324[Project],TableFA21324[[#This Row],[Project]])</f>
        <v>5</v>
      </c>
      <c r="K99" s="4" t="s">
        <v>31</v>
      </c>
      <c r="L99" s="4" t="s">
        <v>31</v>
      </c>
      <c r="M99" s="25" t="s">
        <v>31</v>
      </c>
      <c r="N99" s="25" t="s">
        <v>31</v>
      </c>
      <c r="O99" s="25" t="s">
        <v>31</v>
      </c>
      <c r="P99" s="25" t="s">
        <v>31</v>
      </c>
      <c r="Q99" s="25" t="s">
        <v>31</v>
      </c>
      <c r="R99" s="25" t="s">
        <v>31</v>
      </c>
      <c r="S99" s="25" t="s">
        <v>31</v>
      </c>
      <c r="T99" s="25" t="s">
        <v>31</v>
      </c>
      <c r="U99" s="25" t="s">
        <v>31</v>
      </c>
      <c r="V99" s="25" t="s">
        <v>31</v>
      </c>
      <c r="W99" s="25" t="s">
        <v>31</v>
      </c>
      <c r="X99" s="25" t="s">
        <v>31</v>
      </c>
    </row>
    <row r="100" spans="1:24" s="4" customFormat="1" x14ac:dyDescent="0.2">
      <c r="A100" t="s">
        <v>249</v>
      </c>
      <c r="B100" t="s">
        <v>250</v>
      </c>
      <c r="C100" t="s">
        <v>26</v>
      </c>
      <c r="D100" t="s">
        <v>27</v>
      </c>
      <c r="E100" s="22" t="s">
        <v>28</v>
      </c>
      <c r="F100" s="6" t="s">
        <v>244</v>
      </c>
      <c r="G100" s="5">
        <f>COUNTIFS(TableFA21324[Project],TableFA21324[[#This Row],[Project]],TableFA21324[Program],TableFA21324[[#This Row],[Program]])</f>
        <v>5</v>
      </c>
      <c r="H100" s="5">
        <f>COUNTIFS(TableFA21324[Project],TableFA21324[[#This Row],[Project]])</f>
        <v>5</v>
      </c>
      <c r="K100" s="4" t="s">
        <v>31</v>
      </c>
      <c r="L100" s="4" t="s">
        <v>31</v>
      </c>
      <c r="M100" s="25" t="s">
        <v>31</v>
      </c>
      <c r="N100" s="25" t="s">
        <v>31</v>
      </c>
      <c r="O100" s="25" t="s">
        <v>31</v>
      </c>
      <c r="P100" s="25" t="s">
        <v>31</v>
      </c>
      <c r="Q100" s="25" t="s">
        <v>31</v>
      </c>
      <c r="R100" s="25" t="s">
        <v>31</v>
      </c>
      <c r="S100" s="25" t="s">
        <v>31</v>
      </c>
      <c r="T100" s="25" t="s">
        <v>31</v>
      </c>
      <c r="U100" s="25" t="s">
        <v>31</v>
      </c>
      <c r="V100" s="25" t="s">
        <v>31</v>
      </c>
      <c r="W100" s="25" t="s">
        <v>31</v>
      </c>
      <c r="X100" s="25" t="s">
        <v>31</v>
      </c>
    </row>
    <row r="101" spans="1:24" s="4" customFormat="1" x14ac:dyDescent="0.2">
      <c r="A101" t="s">
        <v>251</v>
      </c>
      <c r="B101" t="s">
        <v>252</v>
      </c>
      <c r="C101" t="s">
        <v>26</v>
      </c>
      <c r="D101" t="s">
        <v>27</v>
      </c>
      <c r="E101" s="22" t="s">
        <v>28</v>
      </c>
      <c r="F101" s="4" t="s">
        <v>244</v>
      </c>
      <c r="G101" s="5">
        <f>COUNTIFS(TableFA21324[Project],TableFA21324[[#This Row],[Project]],TableFA21324[Program],TableFA21324[[#This Row],[Program]])</f>
        <v>5</v>
      </c>
      <c r="H101" s="5">
        <f>COUNTIFS(TableFA21324[Project],TableFA21324[[#This Row],[Project]])</f>
        <v>5</v>
      </c>
      <c r="K101" s="4" t="s">
        <v>31</v>
      </c>
      <c r="L101" s="4" t="s">
        <v>31</v>
      </c>
      <c r="M101" s="25" t="s">
        <v>31</v>
      </c>
      <c r="N101" s="25" t="s">
        <v>31</v>
      </c>
      <c r="O101" s="25" t="s">
        <v>31</v>
      </c>
      <c r="P101" s="25" t="s">
        <v>31</v>
      </c>
      <c r="Q101" s="25" t="s">
        <v>31</v>
      </c>
      <c r="R101" s="25" t="s">
        <v>31</v>
      </c>
      <c r="S101" s="25" t="s">
        <v>31</v>
      </c>
      <c r="T101" s="25" t="s">
        <v>31</v>
      </c>
      <c r="U101" s="25" t="s">
        <v>31</v>
      </c>
      <c r="V101" s="25" t="s">
        <v>31</v>
      </c>
      <c r="W101" s="25" t="s">
        <v>31</v>
      </c>
      <c r="X101" s="25" t="s">
        <v>31</v>
      </c>
    </row>
    <row r="102" spans="1:24" s="4" customFormat="1" x14ac:dyDescent="0.2">
      <c r="A102" s="20" t="s">
        <v>253</v>
      </c>
      <c r="B102" s="20" t="s">
        <v>254</v>
      </c>
      <c r="C102" s="20" t="s">
        <v>26</v>
      </c>
      <c r="D102" s="20" t="s">
        <v>27</v>
      </c>
      <c r="E102" s="22" t="s">
        <v>28</v>
      </c>
      <c r="F102" s="5" t="s">
        <v>255</v>
      </c>
      <c r="G102" s="5">
        <f>COUNTIFS(TableFA21324[Project],TableFA21324[[#This Row],[Project]],TableFA21324[Program],TableFA21324[[#This Row],[Program]])</f>
        <v>5</v>
      </c>
      <c r="H102" s="5">
        <f>COUNTIFS(TableFA21324[Project],TableFA21324[[#This Row],[Project]])</f>
        <v>5</v>
      </c>
      <c r="I102" s="5" t="s">
        <v>30</v>
      </c>
      <c r="J102" s="5"/>
      <c r="K102" s="5" t="s">
        <v>31</v>
      </c>
      <c r="L102" s="5" t="s">
        <v>31</v>
      </c>
      <c r="M102" s="5" t="s">
        <v>31</v>
      </c>
      <c r="N102" s="5" t="s">
        <v>31</v>
      </c>
      <c r="O102" s="5" t="s">
        <v>31</v>
      </c>
      <c r="P102" s="5" t="s">
        <v>31</v>
      </c>
      <c r="Q102" s="5" t="s">
        <v>31</v>
      </c>
      <c r="R102" s="5" t="s">
        <v>31</v>
      </c>
      <c r="S102" s="5" t="s">
        <v>31</v>
      </c>
      <c r="T102" s="5" t="s">
        <v>31</v>
      </c>
      <c r="U102" s="5" t="s">
        <v>31</v>
      </c>
      <c r="V102" s="5" t="s">
        <v>31</v>
      </c>
      <c r="W102" s="5" t="s">
        <v>31</v>
      </c>
      <c r="X102" s="5" t="s">
        <v>31</v>
      </c>
    </row>
    <row r="103" spans="1:24" s="4" customFormat="1" x14ac:dyDescent="0.2">
      <c r="A103" t="s">
        <v>256</v>
      </c>
      <c r="B103" t="s">
        <v>257</v>
      </c>
      <c r="C103" t="s">
        <v>26</v>
      </c>
      <c r="D103" t="s">
        <v>27</v>
      </c>
      <c r="E103" s="22" t="s">
        <v>28</v>
      </c>
      <c r="F103" s="4" t="s">
        <v>255</v>
      </c>
      <c r="G103" s="5">
        <f>COUNTIFS(TableFA21324[Project],TableFA21324[[#This Row],[Project]],TableFA21324[Program],TableFA21324[[#This Row],[Program]])</f>
        <v>5</v>
      </c>
      <c r="H103" s="5">
        <f>COUNTIFS(TableFA21324[Project],TableFA21324[[#This Row],[Project]])</f>
        <v>5</v>
      </c>
      <c r="K103" s="4" t="s">
        <v>31</v>
      </c>
      <c r="L103" s="4" t="s">
        <v>31</v>
      </c>
      <c r="M103" s="4" t="s">
        <v>31</v>
      </c>
      <c r="N103" s="4" t="s">
        <v>31</v>
      </c>
      <c r="O103" s="4" t="s">
        <v>31</v>
      </c>
      <c r="P103" s="4" t="s">
        <v>31</v>
      </c>
      <c r="Q103" s="4" t="s">
        <v>31</v>
      </c>
      <c r="R103" s="4" t="s">
        <v>31</v>
      </c>
      <c r="S103" s="4" t="s">
        <v>31</v>
      </c>
      <c r="T103" s="4" t="s">
        <v>31</v>
      </c>
      <c r="U103" s="4" t="s">
        <v>31</v>
      </c>
      <c r="V103" s="4" t="s">
        <v>31</v>
      </c>
      <c r="W103" s="4" t="s">
        <v>31</v>
      </c>
      <c r="X103" s="4" t="s">
        <v>31</v>
      </c>
    </row>
    <row r="104" spans="1:24" s="4" customFormat="1" x14ac:dyDescent="0.2">
      <c r="A104" t="s">
        <v>258</v>
      </c>
      <c r="B104" t="s">
        <v>259</v>
      </c>
      <c r="C104" t="s">
        <v>26</v>
      </c>
      <c r="D104" t="s">
        <v>27</v>
      </c>
      <c r="E104" s="22" t="s">
        <v>28</v>
      </c>
      <c r="F104" s="4" t="s">
        <v>255</v>
      </c>
      <c r="G104" s="5">
        <f>COUNTIFS(TableFA21324[Project],TableFA21324[[#This Row],[Project]],TableFA21324[Program],TableFA21324[[#This Row],[Program]])</f>
        <v>5</v>
      </c>
      <c r="H104" s="5">
        <f>COUNTIFS(TableFA21324[Project],TableFA21324[[#This Row],[Project]])</f>
        <v>5</v>
      </c>
      <c r="K104" s="4" t="s">
        <v>31</v>
      </c>
      <c r="L104" s="4" t="s">
        <v>31</v>
      </c>
      <c r="M104" s="4" t="s">
        <v>31</v>
      </c>
      <c r="N104" s="4" t="s">
        <v>31</v>
      </c>
      <c r="O104" s="4" t="s">
        <v>31</v>
      </c>
      <c r="P104" s="4" t="s">
        <v>31</v>
      </c>
      <c r="Q104" s="4" t="s">
        <v>31</v>
      </c>
      <c r="R104" s="4" t="s">
        <v>31</v>
      </c>
      <c r="S104" s="4" t="s">
        <v>31</v>
      </c>
      <c r="T104" s="4" t="s">
        <v>31</v>
      </c>
      <c r="U104" s="4" t="s">
        <v>31</v>
      </c>
      <c r="V104" s="4" t="s">
        <v>31</v>
      </c>
      <c r="W104" s="4" t="s">
        <v>31</v>
      </c>
      <c r="X104" s="4" t="s">
        <v>31</v>
      </c>
    </row>
    <row r="105" spans="1:24" s="4" customFormat="1" x14ac:dyDescent="0.2">
      <c r="A105" t="s">
        <v>260</v>
      </c>
      <c r="B105" t="s">
        <v>261</v>
      </c>
      <c r="C105" t="s">
        <v>26</v>
      </c>
      <c r="D105" t="s">
        <v>27</v>
      </c>
      <c r="E105" s="22" t="s">
        <v>28</v>
      </c>
      <c r="F105" s="4" t="s">
        <v>255</v>
      </c>
      <c r="G105" s="5">
        <f>COUNTIFS(TableFA21324[Project],TableFA21324[[#This Row],[Project]],TableFA21324[Program],TableFA21324[[#This Row],[Program]])</f>
        <v>5</v>
      </c>
      <c r="H105" s="5">
        <f>COUNTIFS(TableFA21324[Project],TableFA21324[[#This Row],[Project]])</f>
        <v>5</v>
      </c>
      <c r="K105" s="4" t="s">
        <v>31</v>
      </c>
      <c r="L105" s="4" t="s">
        <v>31</v>
      </c>
      <c r="M105" s="4" t="s">
        <v>31</v>
      </c>
      <c r="N105" s="4" t="s">
        <v>31</v>
      </c>
      <c r="O105" s="4" t="s">
        <v>31</v>
      </c>
      <c r="P105" s="4" t="s">
        <v>31</v>
      </c>
      <c r="Q105" s="4" t="s">
        <v>31</v>
      </c>
      <c r="R105" s="4" t="s">
        <v>31</v>
      </c>
      <c r="S105" s="4" t="s">
        <v>31</v>
      </c>
      <c r="T105" s="4" t="s">
        <v>31</v>
      </c>
      <c r="U105" s="4" t="s">
        <v>31</v>
      </c>
      <c r="V105" s="4" t="s">
        <v>31</v>
      </c>
      <c r="W105" s="4" t="s">
        <v>31</v>
      </c>
      <c r="X105" s="4" t="s">
        <v>31</v>
      </c>
    </row>
    <row r="106" spans="1:24" s="4" customFormat="1" x14ac:dyDescent="0.2">
      <c r="A106" t="s">
        <v>262</v>
      </c>
      <c r="B106" t="s">
        <v>263</v>
      </c>
      <c r="C106" t="s">
        <v>26</v>
      </c>
      <c r="D106" t="s">
        <v>27</v>
      </c>
      <c r="E106" s="22" t="s">
        <v>28</v>
      </c>
      <c r="F106" s="4" t="s">
        <v>255</v>
      </c>
      <c r="G106" s="5">
        <f>COUNTIFS(TableFA21324[Project],TableFA21324[[#This Row],[Project]],TableFA21324[Program],TableFA21324[[#This Row],[Program]])</f>
        <v>5</v>
      </c>
      <c r="H106" s="5">
        <f>COUNTIFS(TableFA21324[Project],TableFA21324[[#This Row],[Project]])</f>
        <v>5</v>
      </c>
      <c r="K106" s="4" t="s">
        <v>31</v>
      </c>
      <c r="L106" s="4" t="s">
        <v>31</v>
      </c>
      <c r="M106" s="4" t="s">
        <v>31</v>
      </c>
      <c r="N106" s="4" t="s">
        <v>31</v>
      </c>
      <c r="O106" s="4" t="s">
        <v>31</v>
      </c>
      <c r="P106" s="4" t="s">
        <v>31</v>
      </c>
      <c r="Q106" s="4" t="s">
        <v>31</v>
      </c>
      <c r="R106" s="4" t="s">
        <v>31</v>
      </c>
      <c r="S106" s="4" t="s">
        <v>31</v>
      </c>
      <c r="T106" s="4" t="s">
        <v>31</v>
      </c>
      <c r="U106" s="4" t="s">
        <v>31</v>
      </c>
      <c r="V106" s="4" t="s">
        <v>31</v>
      </c>
      <c r="W106" s="4" t="s">
        <v>31</v>
      </c>
      <c r="X106" s="4" t="s">
        <v>31</v>
      </c>
    </row>
    <row r="107" spans="1:24" s="4" customFormat="1" x14ac:dyDescent="0.2">
      <c r="A107" s="20" t="s">
        <v>264</v>
      </c>
      <c r="B107" s="20" t="s">
        <v>265</v>
      </c>
      <c r="C107" s="20" t="s">
        <v>26</v>
      </c>
      <c r="D107" s="20" t="s">
        <v>27</v>
      </c>
      <c r="E107" s="22" t="s">
        <v>28</v>
      </c>
      <c r="F107" s="5" t="s">
        <v>266</v>
      </c>
      <c r="G107" s="5">
        <f>COUNTIFS(TableFA21324[Project],TableFA21324[[#This Row],[Project]],TableFA21324[Program],TableFA21324[[#This Row],[Program]])</f>
        <v>5</v>
      </c>
      <c r="H107" s="5">
        <f>COUNTIFS(TableFA21324[Project],TableFA21324[[#This Row],[Project]])</f>
        <v>5</v>
      </c>
      <c r="I107" s="5" t="s">
        <v>30</v>
      </c>
      <c r="J107" s="5"/>
      <c r="K107" s="5" t="s">
        <v>31</v>
      </c>
      <c r="L107" s="5" t="s">
        <v>31</v>
      </c>
      <c r="M107" s="5" t="s">
        <v>31</v>
      </c>
      <c r="N107" s="5"/>
      <c r="O107" s="5"/>
      <c r="P107" s="5"/>
      <c r="Q107" s="5"/>
      <c r="R107" s="5"/>
      <c r="S107" s="5"/>
      <c r="T107" s="5"/>
      <c r="U107" s="5"/>
      <c r="V107" s="5"/>
      <c r="W107" s="5"/>
      <c r="X107" s="5"/>
    </row>
    <row r="108" spans="1:24" s="4" customFormat="1" x14ac:dyDescent="0.2">
      <c r="A108" t="s">
        <v>267</v>
      </c>
      <c r="B108" t="s">
        <v>268</v>
      </c>
      <c r="C108" t="s">
        <v>26</v>
      </c>
      <c r="D108" t="s">
        <v>27</v>
      </c>
      <c r="E108" s="22" t="s">
        <v>28</v>
      </c>
      <c r="F108" s="4" t="s">
        <v>266</v>
      </c>
      <c r="G108" s="5">
        <f>COUNTIFS(TableFA21324[Project],TableFA21324[[#This Row],[Project]],TableFA21324[Program],TableFA21324[[#This Row],[Program]])</f>
        <v>5</v>
      </c>
      <c r="H108" s="5">
        <f>COUNTIFS(TableFA21324[Project],TableFA21324[[#This Row],[Project]])</f>
        <v>5</v>
      </c>
      <c r="K108" s="4" t="s">
        <v>31</v>
      </c>
      <c r="L108" s="4" t="s">
        <v>31</v>
      </c>
      <c r="M108" s="4" t="s">
        <v>31</v>
      </c>
    </row>
    <row r="109" spans="1:24" s="4" customFormat="1" x14ac:dyDescent="0.2">
      <c r="A109" t="s">
        <v>269</v>
      </c>
      <c r="B109" s="4" t="s">
        <v>270</v>
      </c>
      <c r="C109" s="4" t="s">
        <v>26</v>
      </c>
      <c r="D109" s="3"/>
      <c r="E109" s="22" t="s">
        <v>28</v>
      </c>
      <c r="F109" s="4" t="s">
        <v>266</v>
      </c>
      <c r="G109" s="5">
        <f>COUNTIFS(TableFA21324[Project],TableFA21324[[#This Row],[Project]],TableFA21324[Program],TableFA21324[[#This Row],[Program]])</f>
        <v>5</v>
      </c>
      <c r="H109" s="5">
        <f>COUNTIFS(TableFA21324[Project],TableFA21324[[#This Row],[Project]])</f>
        <v>5</v>
      </c>
      <c r="K109" s="4" t="s">
        <v>31</v>
      </c>
      <c r="L109" s="4" t="s">
        <v>31</v>
      </c>
      <c r="M109" s="4" t="s">
        <v>31</v>
      </c>
    </row>
    <row r="110" spans="1:24" s="4" customFormat="1" ht="17.25" customHeight="1" x14ac:dyDescent="0.2">
      <c r="A110" t="s">
        <v>271</v>
      </c>
      <c r="B110" t="s">
        <v>272</v>
      </c>
      <c r="C110" t="s">
        <v>26</v>
      </c>
      <c r="D110" t="s">
        <v>27</v>
      </c>
      <c r="E110" s="22" t="s">
        <v>28</v>
      </c>
      <c r="F110" s="8" t="s">
        <v>266</v>
      </c>
      <c r="G110" s="5">
        <f>COUNTIFS(TableFA21324[Project],TableFA21324[[#This Row],[Project]],TableFA21324[Program],TableFA21324[[#This Row],[Program]])</f>
        <v>5</v>
      </c>
      <c r="H110" s="5">
        <f>COUNTIFS(TableFA21324[Project],TableFA21324[[#This Row],[Project]])</f>
        <v>5</v>
      </c>
      <c r="K110" s="4" t="s">
        <v>31</v>
      </c>
      <c r="L110" s="4" t="s">
        <v>31</v>
      </c>
      <c r="M110" s="4" t="s">
        <v>31</v>
      </c>
    </row>
    <row r="111" spans="1:24" s="4" customFormat="1" x14ac:dyDescent="0.2">
      <c r="A111" t="s">
        <v>273</v>
      </c>
      <c r="B111" t="s">
        <v>274</v>
      </c>
      <c r="C111" t="s">
        <v>26</v>
      </c>
      <c r="D111" t="s">
        <v>27</v>
      </c>
      <c r="E111" s="22" t="s">
        <v>28</v>
      </c>
      <c r="F111" s="4" t="s">
        <v>266</v>
      </c>
      <c r="G111" s="5">
        <f>COUNTIFS(TableFA21324[Project],TableFA21324[[#This Row],[Project]],TableFA21324[Program],TableFA21324[[#This Row],[Program]])</f>
        <v>5</v>
      </c>
      <c r="H111" s="5">
        <f>COUNTIFS(TableFA21324[Project],TableFA21324[[#This Row],[Project]])</f>
        <v>5</v>
      </c>
      <c r="K111" s="4" t="s">
        <v>31</v>
      </c>
      <c r="L111" s="4" t="s">
        <v>31</v>
      </c>
      <c r="M111" s="4" t="s">
        <v>31</v>
      </c>
    </row>
    <row r="112" spans="1:24" s="4" customFormat="1" x14ac:dyDescent="0.2">
      <c r="A112" t="s">
        <v>275</v>
      </c>
      <c r="B112" t="s">
        <v>276</v>
      </c>
      <c r="C112" t="s">
        <v>26</v>
      </c>
      <c r="D112" t="s">
        <v>27</v>
      </c>
      <c r="E112" s="22" t="s">
        <v>28</v>
      </c>
      <c r="F112" s="4" t="s">
        <v>277</v>
      </c>
      <c r="G112" s="5">
        <f>COUNTIFS(TableFA21324[Project],TableFA21324[[#This Row],[Project]],TableFA21324[Program],TableFA21324[[#This Row],[Program]])</f>
        <v>4</v>
      </c>
      <c r="H112" s="5">
        <f>COUNTIFS(TableFA21324[Project],TableFA21324[[#This Row],[Project]])</f>
        <v>4</v>
      </c>
      <c r="I112" s="5" t="s">
        <v>30</v>
      </c>
      <c r="K112" s="4" t="s">
        <v>31</v>
      </c>
      <c r="L112" s="4" t="s">
        <v>31</v>
      </c>
      <c r="M112" s="4" t="s">
        <v>31</v>
      </c>
      <c r="N112" s="4" t="s">
        <v>31</v>
      </c>
      <c r="O112" s="4" t="s">
        <v>31</v>
      </c>
      <c r="P112" s="4" t="s">
        <v>31</v>
      </c>
      <c r="Q112" s="4" t="s">
        <v>31</v>
      </c>
      <c r="R112" s="4" t="s">
        <v>31</v>
      </c>
      <c r="S112" s="4" t="s">
        <v>31</v>
      </c>
      <c r="T112" s="4" t="s">
        <v>31</v>
      </c>
      <c r="U112" s="4" t="s">
        <v>31</v>
      </c>
      <c r="V112" s="4" t="s">
        <v>31</v>
      </c>
      <c r="W112" s="4" t="s">
        <v>31</v>
      </c>
      <c r="X112" s="4" t="s">
        <v>31</v>
      </c>
    </row>
    <row r="113" spans="1:24" s="4" customFormat="1" x14ac:dyDescent="0.2">
      <c r="A113" t="s">
        <v>278</v>
      </c>
      <c r="B113" t="s">
        <v>279</v>
      </c>
      <c r="C113" t="s">
        <v>26</v>
      </c>
      <c r="D113" t="s">
        <v>54</v>
      </c>
      <c r="E113" s="22" t="s">
        <v>28</v>
      </c>
      <c r="F113" t="s">
        <v>277</v>
      </c>
      <c r="G113" s="5">
        <f>COUNTIFS(TableFA21324[Project],TableFA21324[[#This Row],[Project]],TableFA21324[Program],TableFA21324[[#This Row],[Program]])</f>
        <v>4</v>
      </c>
      <c r="H113" s="5">
        <f>COUNTIFS(TableFA21324[Project],TableFA21324[[#This Row],[Project]])</f>
        <v>4</v>
      </c>
      <c r="K113" s="4" t="s">
        <v>31</v>
      </c>
      <c r="L113" s="4" t="s">
        <v>31</v>
      </c>
      <c r="M113" s="4" t="s">
        <v>31</v>
      </c>
      <c r="N113" s="4" t="s">
        <v>31</v>
      </c>
      <c r="O113" s="4" t="s">
        <v>31</v>
      </c>
      <c r="P113" s="4" t="s">
        <v>31</v>
      </c>
      <c r="Q113" s="4" t="s">
        <v>31</v>
      </c>
      <c r="R113" s="4" t="s">
        <v>31</v>
      </c>
      <c r="S113" s="4" t="s">
        <v>31</v>
      </c>
      <c r="T113" s="4" t="s">
        <v>31</v>
      </c>
      <c r="U113" s="4" t="s">
        <v>31</v>
      </c>
      <c r="V113" s="4" t="s">
        <v>31</v>
      </c>
      <c r="W113" s="4" t="s">
        <v>31</v>
      </c>
      <c r="X113" s="4" t="s">
        <v>31</v>
      </c>
    </row>
    <row r="114" spans="1:24" s="4" customFormat="1" x14ac:dyDescent="0.2">
      <c r="A114" t="s">
        <v>280</v>
      </c>
      <c r="B114" t="s">
        <v>281</v>
      </c>
      <c r="C114" t="s">
        <v>26</v>
      </c>
      <c r="D114" t="s">
        <v>27</v>
      </c>
      <c r="E114" s="22" t="s">
        <v>28</v>
      </c>
      <c r="F114" s="4" t="s">
        <v>277</v>
      </c>
      <c r="G114" s="5">
        <f>COUNTIFS(TableFA21324[Project],TableFA21324[[#This Row],[Project]],TableFA21324[Program],TableFA21324[[#This Row],[Program]])</f>
        <v>4</v>
      </c>
      <c r="H114" s="5">
        <f>COUNTIFS(TableFA21324[Project],TableFA21324[[#This Row],[Project]])</f>
        <v>4</v>
      </c>
      <c r="K114" s="4" t="s">
        <v>31</v>
      </c>
      <c r="L114" s="4" t="s">
        <v>31</v>
      </c>
      <c r="M114" s="4" t="s">
        <v>31</v>
      </c>
      <c r="N114" s="4" t="s">
        <v>31</v>
      </c>
      <c r="O114" s="4" t="s">
        <v>31</v>
      </c>
      <c r="P114" s="4" t="s">
        <v>31</v>
      </c>
      <c r="Q114" s="4" t="s">
        <v>31</v>
      </c>
      <c r="R114" s="4" t="s">
        <v>31</v>
      </c>
      <c r="S114" s="4" t="s">
        <v>31</v>
      </c>
      <c r="T114" s="4" t="s">
        <v>31</v>
      </c>
      <c r="U114" s="4" t="s">
        <v>31</v>
      </c>
      <c r="V114" s="4" t="s">
        <v>31</v>
      </c>
      <c r="W114" s="4" t="s">
        <v>31</v>
      </c>
      <c r="X114" s="4" t="s">
        <v>31</v>
      </c>
    </row>
    <row r="115" spans="1:24" s="4" customFormat="1" x14ac:dyDescent="0.2">
      <c r="A115" t="s">
        <v>282</v>
      </c>
      <c r="B115" t="s">
        <v>283</v>
      </c>
      <c r="C115" t="s">
        <v>26</v>
      </c>
      <c r="D115" t="s">
        <v>27</v>
      </c>
      <c r="E115" s="22" t="s">
        <v>28</v>
      </c>
      <c r="F115" t="s">
        <v>277</v>
      </c>
      <c r="G115" s="5">
        <f>COUNTIFS(TableFA21324[Project],TableFA21324[[#This Row],[Project]],TableFA21324[Program],TableFA21324[[#This Row],[Program]])</f>
        <v>4</v>
      </c>
      <c r="H115" s="5">
        <f>COUNTIFS(TableFA21324[Project],TableFA21324[[#This Row],[Project]])</f>
        <v>4</v>
      </c>
      <c r="K115" s="4" t="s">
        <v>31</v>
      </c>
      <c r="L115" s="4" t="s">
        <v>31</v>
      </c>
      <c r="M115" s="4" t="s">
        <v>31</v>
      </c>
      <c r="N115" s="4" t="s">
        <v>31</v>
      </c>
      <c r="O115" s="4" t="s">
        <v>31</v>
      </c>
      <c r="P115" s="4" t="s">
        <v>31</v>
      </c>
      <c r="Q115" s="4" t="s">
        <v>31</v>
      </c>
      <c r="R115" s="4" t="s">
        <v>31</v>
      </c>
      <c r="S115" s="4" t="s">
        <v>31</v>
      </c>
      <c r="T115" s="4" t="s">
        <v>31</v>
      </c>
      <c r="U115" s="4" t="s">
        <v>31</v>
      </c>
      <c r="V115" s="4" t="s">
        <v>31</v>
      </c>
      <c r="W115" s="4" t="s">
        <v>31</v>
      </c>
      <c r="X115" s="4" t="s">
        <v>31</v>
      </c>
    </row>
    <row r="116" spans="1:24" s="4" customFormat="1" x14ac:dyDescent="0.2">
      <c r="A116" s="20" t="s">
        <v>284</v>
      </c>
      <c r="B116" s="20" t="s">
        <v>285</v>
      </c>
      <c r="C116" s="20" t="s">
        <v>26</v>
      </c>
      <c r="D116" s="20" t="s">
        <v>27</v>
      </c>
      <c r="E116" s="22" t="s">
        <v>28</v>
      </c>
      <c r="F116" s="5" t="s">
        <v>286</v>
      </c>
      <c r="G116" s="5">
        <f>COUNTIFS(TableFA21324[Project],TableFA21324[[#This Row],[Project]],TableFA21324[Program],TableFA21324[[#This Row],[Program]])</f>
        <v>5</v>
      </c>
      <c r="H116" s="5">
        <f>COUNTIFS(TableFA21324[Project],TableFA21324[[#This Row],[Project]])</f>
        <v>5</v>
      </c>
      <c r="I116" s="5" t="s">
        <v>30</v>
      </c>
      <c r="K116" s="4" t="s">
        <v>31</v>
      </c>
      <c r="L116" s="4" t="s">
        <v>31</v>
      </c>
      <c r="M116" s="4" t="s">
        <v>31</v>
      </c>
      <c r="N116" s="4" t="s">
        <v>31</v>
      </c>
      <c r="O116" s="4" t="s">
        <v>31</v>
      </c>
      <c r="P116" s="4" t="s">
        <v>31</v>
      </c>
      <c r="Q116" s="4" t="s">
        <v>31</v>
      </c>
      <c r="R116" s="4" t="s">
        <v>31</v>
      </c>
      <c r="S116" s="4" t="s">
        <v>31</v>
      </c>
      <c r="T116" s="4" t="s">
        <v>31</v>
      </c>
      <c r="U116" s="4" t="s">
        <v>31</v>
      </c>
      <c r="V116" s="4" t="s">
        <v>31</v>
      </c>
      <c r="W116" s="4" t="s">
        <v>31</v>
      </c>
    </row>
    <row r="117" spans="1:24" s="4" customFormat="1" x14ac:dyDescent="0.2">
      <c r="A117" t="s">
        <v>287</v>
      </c>
      <c r="B117" t="s">
        <v>288</v>
      </c>
      <c r="C117" t="s">
        <v>26</v>
      </c>
      <c r="D117" t="s">
        <v>27</v>
      </c>
      <c r="E117" s="22" t="s">
        <v>28</v>
      </c>
      <c r="F117" s="4" t="s">
        <v>286</v>
      </c>
      <c r="G117" s="5">
        <f>COUNTIFS(TableFA21324[Project],TableFA21324[[#This Row],[Project]],TableFA21324[Program],TableFA21324[[#This Row],[Program]])</f>
        <v>5</v>
      </c>
      <c r="H117" s="5">
        <f>COUNTIFS(TableFA21324[Project],TableFA21324[[#This Row],[Project]])</f>
        <v>5</v>
      </c>
      <c r="K117" s="4" t="s">
        <v>31</v>
      </c>
      <c r="L117" s="4" t="s">
        <v>31</v>
      </c>
      <c r="M117" s="4" t="s">
        <v>31</v>
      </c>
      <c r="N117" s="4" t="s">
        <v>31</v>
      </c>
      <c r="O117" s="4" t="s">
        <v>31</v>
      </c>
      <c r="P117" s="4" t="s">
        <v>31</v>
      </c>
      <c r="Q117" s="4" t="s">
        <v>31</v>
      </c>
      <c r="R117" s="4" t="s">
        <v>31</v>
      </c>
      <c r="S117" s="4" t="s">
        <v>31</v>
      </c>
      <c r="T117" s="4" t="s">
        <v>31</v>
      </c>
      <c r="U117" s="4" t="s">
        <v>31</v>
      </c>
      <c r="V117" s="4" t="s">
        <v>31</v>
      </c>
      <c r="W117" s="4" t="s">
        <v>31</v>
      </c>
    </row>
    <row r="118" spans="1:24" s="4" customFormat="1" x14ac:dyDescent="0.2">
      <c r="A118" t="s">
        <v>289</v>
      </c>
      <c r="B118" t="s">
        <v>290</v>
      </c>
      <c r="C118" t="s">
        <v>26</v>
      </c>
      <c r="D118" t="s">
        <v>27</v>
      </c>
      <c r="E118" s="22" t="s">
        <v>28</v>
      </c>
      <c r="F118" s="4" t="s">
        <v>286</v>
      </c>
      <c r="G118" s="5">
        <f>COUNTIFS(TableFA21324[Project],TableFA21324[[#This Row],[Project]],TableFA21324[Program],TableFA21324[[#This Row],[Program]])</f>
        <v>5</v>
      </c>
      <c r="H118" s="5">
        <f>COUNTIFS(TableFA21324[Project],TableFA21324[[#This Row],[Project]])</f>
        <v>5</v>
      </c>
      <c r="K118" s="4" t="s">
        <v>31</v>
      </c>
      <c r="L118" s="4" t="s">
        <v>31</v>
      </c>
      <c r="M118" s="4" t="s">
        <v>31</v>
      </c>
      <c r="N118" s="4" t="s">
        <v>31</v>
      </c>
      <c r="O118" s="4" t="s">
        <v>31</v>
      </c>
      <c r="P118" s="4" t="s">
        <v>31</v>
      </c>
      <c r="Q118" s="4" t="s">
        <v>31</v>
      </c>
      <c r="R118" s="4" t="s">
        <v>31</v>
      </c>
      <c r="S118" s="4" t="s">
        <v>31</v>
      </c>
      <c r="T118" s="4" t="s">
        <v>31</v>
      </c>
      <c r="U118" s="4" t="s">
        <v>31</v>
      </c>
      <c r="V118" s="4" t="s">
        <v>31</v>
      </c>
      <c r="W118" s="4" t="s">
        <v>31</v>
      </c>
    </row>
    <row r="119" spans="1:24" s="4" customFormat="1" x14ac:dyDescent="0.2">
      <c r="A119" t="s">
        <v>291</v>
      </c>
      <c r="B119" t="s">
        <v>292</v>
      </c>
      <c r="C119" t="s">
        <v>26</v>
      </c>
      <c r="D119" t="s">
        <v>27</v>
      </c>
      <c r="E119" s="22" t="s">
        <v>28</v>
      </c>
      <c r="F119" s="4" t="s">
        <v>286</v>
      </c>
      <c r="G119" s="5">
        <f>COUNTIFS(TableFA21324[Project],TableFA21324[[#This Row],[Project]],TableFA21324[Program],TableFA21324[[#This Row],[Program]])</f>
        <v>5</v>
      </c>
      <c r="H119" s="5">
        <f>COUNTIFS(TableFA21324[Project],TableFA21324[[#This Row],[Project]])</f>
        <v>5</v>
      </c>
      <c r="K119" s="4" t="s">
        <v>31</v>
      </c>
      <c r="L119" s="4" t="s">
        <v>31</v>
      </c>
      <c r="M119" s="4" t="s">
        <v>31</v>
      </c>
      <c r="N119" s="4" t="s">
        <v>31</v>
      </c>
      <c r="O119" s="4" t="s">
        <v>31</v>
      </c>
      <c r="P119" s="4" t="s">
        <v>31</v>
      </c>
      <c r="Q119" s="4" t="s">
        <v>31</v>
      </c>
      <c r="R119" s="4" t="s">
        <v>31</v>
      </c>
      <c r="S119" s="4" t="s">
        <v>31</v>
      </c>
      <c r="T119" s="4" t="s">
        <v>31</v>
      </c>
      <c r="U119" s="4" t="s">
        <v>31</v>
      </c>
      <c r="V119" s="4" t="s">
        <v>31</v>
      </c>
      <c r="W119" s="4" t="s">
        <v>31</v>
      </c>
    </row>
    <row r="120" spans="1:24" s="4" customFormat="1" x14ac:dyDescent="0.2">
      <c r="A120" t="s">
        <v>293</v>
      </c>
      <c r="B120" t="s">
        <v>294</v>
      </c>
      <c r="C120" t="s">
        <v>26</v>
      </c>
      <c r="D120" t="s">
        <v>27</v>
      </c>
      <c r="E120" s="22" t="s">
        <v>28</v>
      </c>
      <c r="F120" s="4" t="s">
        <v>286</v>
      </c>
      <c r="G120" s="5">
        <f>COUNTIFS(TableFA21324[Project],TableFA21324[[#This Row],[Project]],TableFA21324[Program],TableFA21324[[#This Row],[Program]])</f>
        <v>5</v>
      </c>
      <c r="H120" s="5">
        <f>COUNTIFS(TableFA21324[Project],TableFA21324[[#This Row],[Project]])</f>
        <v>5</v>
      </c>
      <c r="K120" s="4" t="s">
        <v>31</v>
      </c>
      <c r="L120" s="4" t="s">
        <v>31</v>
      </c>
      <c r="M120" s="4" t="s">
        <v>31</v>
      </c>
      <c r="N120" s="4" t="s">
        <v>31</v>
      </c>
      <c r="O120" s="4" t="s">
        <v>31</v>
      </c>
      <c r="P120" s="4" t="s">
        <v>31</v>
      </c>
      <c r="Q120" s="4" t="s">
        <v>31</v>
      </c>
      <c r="R120" s="4" t="s">
        <v>31</v>
      </c>
      <c r="S120" s="4" t="s">
        <v>31</v>
      </c>
      <c r="T120" s="4" t="s">
        <v>31</v>
      </c>
      <c r="U120" s="4" t="s">
        <v>31</v>
      </c>
      <c r="V120" s="4" t="s">
        <v>31</v>
      </c>
      <c r="W120" s="4" t="s">
        <v>31</v>
      </c>
    </row>
    <row r="121" spans="1:24" s="4" customFormat="1" x14ac:dyDescent="0.2">
      <c r="A121" t="s">
        <v>295</v>
      </c>
      <c r="B121" s="20" t="s">
        <v>296</v>
      </c>
      <c r="C121" s="20" t="s">
        <v>26</v>
      </c>
      <c r="D121" s="20" t="s">
        <v>27</v>
      </c>
      <c r="E121" s="22" t="s">
        <v>28</v>
      </c>
      <c r="F121" s="5" t="s">
        <v>297</v>
      </c>
      <c r="G121" s="5">
        <f>COUNTIFS(TableFA21324[Project],TableFA21324[[#This Row],[Project]],TableFA21324[Program],TableFA21324[[#This Row],[Program]])</f>
        <v>5</v>
      </c>
      <c r="H121" s="5">
        <f>COUNTIFS(TableFA21324[Project],TableFA21324[[#This Row],[Project]])</f>
        <v>5</v>
      </c>
      <c r="I121" s="5" t="s">
        <v>30</v>
      </c>
      <c r="J121" s="5"/>
      <c r="K121" s="5" t="s">
        <v>31</v>
      </c>
      <c r="L121" s="5" t="s">
        <v>31</v>
      </c>
      <c r="M121" s="5" t="s">
        <v>31</v>
      </c>
      <c r="N121" s="5" t="s">
        <v>31</v>
      </c>
      <c r="O121" s="5" t="s">
        <v>31</v>
      </c>
      <c r="P121" s="5" t="s">
        <v>31</v>
      </c>
      <c r="Q121" s="5" t="s">
        <v>31</v>
      </c>
      <c r="R121" s="5" t="s">
        <v>31</v>
      </c>
      <c r="S121" s="5" t="s">
        <v>31</v>
      </c>
      <c r="T121" s="5" t="s">
        <v>31</v>
      </c>
      <c r="U121" s="5" t="s">
        <v>31</v>
      </c>
      <c r="V121" s="5" t="s">
        <v>31</v>
      </c>
      <c r="W121" s="5" t="s">
        <v>31</v>
      </c>
      <c r="X121" s="5" t="s">
        <v>31</v>
      </c>
    </row>
    <row r="122" spans="1:24" s="4" customFormat="1" x14ac:dyDescent="0.2">
      <c r="A122" t="s">
        <v>298</v>
      </c>
      <c r="B122" t="s">
        <v>299</v>
      </c>
      <c r="C122" t="s">
        <v>26</v>
      </c>
      <c r="D122" t="s">
        <v>27</v>
      </c>
      <c r="E122" s="22" t="s">
        <v>28</v>
      </c>
      <c r="F122" s="4" t="s">
        <v>297</v>
      </c>
      <c r="G122" s="5">
        <f>COUNTIFS(TableFA21324[Project],TableFA21324[[#This Row],[Project]],TableFA21324[Program],TableFA21324[[#This Row],[Program]])</f>
        <v>5</v>
      </c>
      <c r="H122" s="5">
        <f>COUNTIFS(TableFA21324[Project],TableFA21324[[#This Row],[Project]])</f>
        <v>5</v>
      </c>
      <c r="K122" s="4" t="s">
        <v>31</v>
      </c>
      <c r="L122" s="4" t="s">
        <v>31</v>
      </c>
      <c r="M122" s="4" t="s">
        <v>31</v>
      </c>
      <c r="N122" s="4" t="s">
        <v>31</v>
      </c>
      <c r="O122" s="4" t="s">
        <v>31</v>
      </c>
      <c r="P122" s="4" t="s">
        <v>31</v>
      </c>
      <c r="Q122" s="4" t="s">
        <v>31</v>
      </c>
      <c r="R122" s="4" t="s">
        <v>31</v>
      </c>
      <c r="S122" s="4" t="s">
        <v>31</v>
      </c>
      <c r="T122" s="4" t="s">
        <v>31</v>
      </c>
      <c r="U122" s="4" t="s">
        <v>31</v>
      </c>
      <c r="V122" s="4" t="s">
        <v>31</v>
      </c>
      <c r="W122" s="4" t="s">
        <v>31</v>
      </c>
      <c r="X122" s="4" t="s">
        <v>31</v>
      </c>
    </row>
    <row r="123" spans="1:24" s="4" customFormat="1" x14ac:dyDescent="0.2">
      <c r="A123" t="s">
        <v>300</v>
      </c>
      <c r="B123" t="s">
        <v>301</v>
      </c>
      <c r="C123" t="s">
        <v>26</v>
      </c>
      <c r="D123" t="s">
        <v>54</v>
      </c>
      <c r="E123" s="22" t="s">
        <v>28</v>
      </c>
      <c r="F123" s="4" t="s">
        <v>297</v>
      </c>
      <c r="G123" s="5">
        <f>COUNTIFS(TableFA21324[Project],TableFA21324[[#This Row],[Project]],TableFA21324[Program],TableFA21324[[#This Row],[Program]])</f>
        <v>5</v>
      </c>
      <c r="H123" s="5">
        <f>COUNTIFS(TableFA21324[Project],TableFA21324[[#This Row],[Project]])</f>
        <v>5</v>
      </c>
      <c r="K123" s="4" t="s">
        <v>31</v>
      </c>
      <c r="L123" s="4" t="s">
        <v>31</v>
      </c>
      <c r="M123" s="4" t="s">
        <v>31</v>
      </c>
      <c r="N123" s="4" t="s">
        <v>31</v>
      </c>
      <c r="O123" s="4" t="s">
        <v>31</v>
      </c>
      <c r="P123" s="4" t="s">
        <v>31</v>
      </c>
      <c r="Q123" s="4" t="s">
        <v>31</v>
      </c>
      <c r="R123" s="4" t="s">
        <v>31</v>
      </c>
      <c r="S123" s="4" t="s">
        <v>31</v>
      </c>
      <c r="T123" s="4" t="s">
        <v>31</v>
      </c>
      <c r="U123" s="4" t="s">
        <v>31</v>
      </c>
      <c r="V123" s="4" t="s">
        <v>31</v>
      </c>
      <c r="W123" s="4" t="s">
        <v>31</v>
      </c>
      <c r="X123" s="4" t="s">
        <v>31</v>
      </c>
    </row>
    <row r="124" spans="1:24" s="4" customFormat="1" x14ac:dyDescent="0.2">
      <c r="A124" t="s">
        <v>302</v>
      </c>
      <c r="B124" t="s">
        <v>303</v>
      </c>
      <c r="C124" t="s">
        <v>26</v>
      </c>
      <c r="D124" t="s">
        <v>54</v>
      </c>
      <c r="E124" s="22" t="s">
        <v>28</v>
      </c>
      <c r="F124" s="4" t="s">
        <v>297</v>
      </c>
      <c r="G124" s="5">
        <f>COUNTIFS(TableFA21324[Project],TableFA21324[[#This Row],[Project]],TableFA21324[Program],TableFA21324[[#This Row],[Program]])</f>
        <v>5</v>
      </c>
      <c r="H124" s="5">
        <f>COUNTIFS(TableFA21324[Project],TableFA21324[[#This Row],[Project]])</f>
        <v>5</v>
      </c>
      <c r="K124" s="4" t="s">
        <v>31</v>
      </c>
      <c r="L124" s="4" t="s">
        <v>31</v>
      </c>
      <c r="M124" s="4" t="s">
        <v>31</v>
      </c>
      <c r="N124" s="4" t="s">
        <v>31</v>
      </c>
      <c r="O124" s="4" t="s">
        <v>31</v>
      </c>
      <c r="P124" s="4" t="s">
        <v>31</v>
      </c>
      <c r="Q124" s="4" t="s">
        <v>31</v>
      </c>
      <c r="R124" s="4" t="s">
        <v>31</v>
      </c>
      <c r="S124" s="4" t="s">
        <v>31</v>
      </c>
      <c r="T124" s="4" t="s">
        <v>31</v>
      </c>
      <c r="U124" s="4" t="s">
        <v>31</v>
      </c>
      <c r="V124" s="4" t="s">
        <v>31</v>
      </c>
      <c r="W124" s="4" t="s">
        <v>31</v>
      </c>
      <c r="X124" s="4" t="s">
        <v>31</v>
      </c>
    </row>
    <row r="125" spans="1:24" s="4" customFormat="1" x14ac:dyDescent="0.2">
      <c r="A125" t="s">
        <v>304</v>
      </c>
      <c r="B125" t="s">
        <v>305</v>
      </c>
      <c r="C125" t="s">
        <v>26</v>
      </c>
      <c r="D125" t="s">
        <v>27</v>
      </c>
      <c r="E125" s="22" t="s">
        <v>28</v>
      </c>
      <c r="F125" s="4" t="s">
        <v>297</v>
      </c>
      <c r="G125" s="5">
        <f>COUNTIFS(TableFA21324[Project],TableFA21324[[#This Row],[Project]],TableFA21324[Program],TableFA21324[[#This Row],[Program]])</f>
        <v>5</v>
      </c>
      <c r="H125" s="5">
        <f>COUNTIFS(TableFA21324[Project],TableFA21324[[#This Row],[Project]])</f>
        <v>5</v>
      </c>
      <c r="K125" s="4" t="s">
        <v>31</v>
      </c>
      <c r="L125" s="4" t="s">
        <v>31</v>
      </c>
      <c r="M125" s="4" t="s">
        <v>31</v>
      </c>
      <c r="N125" s="4" t="s">
        <v>31</v>
      </c>
      <c r="O125" s="4" t="s">
        <v>31</v>
      </c>
      <c r="P125" s="4" t="s">
        <v>31</v>
      </c>
      <c r="Q125" s="4" t="s">
        <v>31</v>
      </c>
      <c r="R125" s="4" t="s">
        <v>31</v>
      </c>
      <c r="S125" s="4" t="s">
        <v>31</v>
      </c>
      <c r="T125" s="4" t="s">
        <v>31</v>
      </c>
      <c r="U125" s="4" t="s">
        <v>31</v>
      </c>
      <c r="V125" s="4" t="s">
        <v>31</v>
      </c>
      <c r="W125" s="4" t="s">
        <v>31</v>
      </c>
      <c r="X125" s="4" t="s">
        <v>31</v>
      </c>
    </row>
    <row r="126" spans="1:24" s="4" customFormat="1" x14ac:dyDescent="0.2">
      <c r="A126" s="20" t="s">
        <v>306</v>
      </c>
      <c r="B126" s="20" t="s">
        <v>307</v>
      </c>
      <c r="C126" s="20" t="s">
        <v>26</v>
      </c>
      <c r="D126" s="20" t="s">
        <v>27</v>
      </c>
      <c r="E126" s="22" t="s">
        <v>28</v>
      </c>
      <c r="F126" s="5" t="s">
        <v>308</v>
      </c>
      <c r="G126" s="5">
        <f>COUNTIFS(TableFA21324[Project],TableFA21324[[#This Row],[Project]],TableFA21324[Program],TableFA21324[[#This Row],[Program]])</f>
        <v>5</v>
      </c>
      <c r="H126" s="5">
        <f>COUNTIFS(TableFA21324[Project],TableFA21324[[#This Row],[Project]])</f>
        <v>5</v>
      </c>
      <c r="I126" s="5" t="s">
        <v>30</v>
      </c>
      <c r="J126" s="5"/>
      <c r="K126" s="5" t="s">
        <v>31</v>
      </c>
      <c r="L126" s="5" t="s">
        <v>31</v>
      </c>
      <c r="M126" s="5" t="s">
        <v>31</v>
      </c>
      <c r="N126" s="5" t="s">
        <v>31</v>
      </c>
      <c r="O126" s="5" t="s">
        <v>31</v>
      </c>
      <c r="P126" s="5" t="s">
        <v>31</v>
      </c>
      <c r="Q126" s="5" t="s">
        <v>31</v>
      </c>
      <c r="R126" s="5" t="s">
        <v>31</v>
      </c>
      <c r="S126" s="5" t="s">
        <v>31</v>
      </c>
      <c r="T126" s="5" t="s">
        <v>31</v>
      </c>
      <c r="U126" s="5" t="s">
        <v>31</v>
      </c>
      <c r="V126" s="5" t="s">
        <v>31</v>
      </c>
      <c r="W126" s="5" t="s">
        <v>31</v>
      </c>
      <c r="X126" s="5"/>
    </row>
    <row r="127" spans="1:24" s="4" customFormat="1" x14ac:dyDescent="0.2">
      <c r="A127" t="s">
        <v>309</v>
      </c>
      <c r="B127" t="s">
        <v>310</v>
      </c>
      <c r="C127" t="s">
        <v>26</v>
      </c>
      <c r="D127" t="s">
        <v>27</v>
      </c>
      <c r="E127" s="22" t="s">
        <v>28</v>
      </c>
      <c r="F127" s="4" t="s">
        <v>308</v>
      </c>
      <c r="G127" s="5">
        <f>COUNTIFS(TableFA21324[Project],TableFA21324[[#This Row],[Project]],TableFA21324[Program],TableFA21324[[#This Row],[Program]])</f>
        <v>5</v>
      </c>
      <c r="H127" s="5">
        <f>COUNTIFS(TableFA21324[Project],TableFA21324[[#This Row],[Project]])</f>
        <v>5</v>
      </c>
      <c r="K127" s="4" t="s">
        <v>31</v>
      </c>
      <c r="L127" s="4" t="s">
        <v>31</v>
      </c>
      <c r="M127" s="4" t="s">
        <v>31</v>
      </c>
      <c r="N127" s="4" t="s">
        <v>31</v>
      </c>
      <c r="O127" s="4" t="s">
        <v>31</v>
      </c>
      <c r="P127" s="4" t="s">
        <v>31</v>
      </c>
      <c r="Q127" s="4" t="s">
        <v>31</v>
      </c>
      <c r="R127" s="4" t="s">
        <v>31</v>
      </c>
      <c r="S127" s="4" t="s">
        <v>31</v>
      </c>
      <c r="T127" s="4" t="s">
        <v>31</v>
      </c>
      <c r="U127" s="4" t="s">
        <v>31</v>
      </c>
      <c r="V127" s="4" t="s">
        <v>31</v>
      </c>
      <c r="W127" s="4" t="s">
        <v>31</v>
      </c>
    </row>
    <row r="128" spans="1:24" s="4" customFormat="1" x14ac:dyDescent="0.2">
      <c r="A128" t="s">
        <v>311</v>
      </c>
      <c r="B128" t="s">
        <v>312</v>
      </c>
      <c r="C128" t="s">
        <v>26</v>
      </c>
      <c r="D128" t="s">
        <v>27</v>
      </c>
      <c r="E128" s="22" t="s">
        <v>28</v>
      </c>
      <c r="F128" s="4" t="s">
        <v>308</v>
      </c>
      <c r="G128" s="5">
        <f>COUNTIFS(TableFA21324[Project],TableFA21324[[#This Row],[Project]],TableFA21324[Program],TableFA21324[[#This Row],[Program]])</f>
        <v>5</v>
      </c>
      <c r="H128" s="5">
        <f>COUNTIFS(TableFA21324[Project],TableFA21324[[#This Row],[Project]])</f>
        <v>5</v>
      </c>
      <c r="K128" s="4" t="s">
        <v>31</v>
      </c>
      <c r="L128" s="4" t="s">
        <v>31</v>
      </c>
      <c r="M128" s="4" t="s">
        <v>31</v>
      </c>
      <c r="N128" s="4" t="s">
        <v>31</v>
      </c>
      <c r="O128" s="4" t="s">
        <v>31</v>
      </c>
      <c r="P128" s="4" t="s">
        <v>31</v>
      </c>
      <c r="Q128" s="4" t="s">
        <v>31</v>
      </c>
      <c r="R128" s="4" t="s">
        <v>31</v>
      </c>
      <c r="S128" s="4" t="s">
        <v>31</v>
      </c>
      <c r="T128" s="4" t="s">
        <v>31</v>
      </c>
      <c r="U128" s="4" t="s">
        <v>31</v>
      </c>
      <c r="V128" s="4" t="s">
        <v>31</v>
      </c>
      <c r="W128" s="4" t="s">
        <v>31</v>
      </c>
    </row>
    <row r="129" spans="1:24" s="4" customFormat="1" x14ac:dyDescent="0.2">
      <c r="A129" t="s">
        <v>313</v>
      </c>
      <c r="B129" t="s">
        <v>314</v>
      </c>
      <c r="C129" t="s">
        <v>26</v>
      </c>
      <c r="D129" t="s">
        <v>27</v>
      </c>
      <c r="E129" s="22" t="s">
        <v>28</v>
      </c>
      <c r="F129" s="4" t="s">
        <v>308</v>
      </c>
      <c r="G129" s="5">
        <f>COUNTIFS(TableFA21324[Project],TableFA21324[[#This Row],[Project]],TableFA21324[Program],TableFA21324[[#This Row],[Program]])</f>
        <v>5</v>
      </c>
      <c r="H129" s="5">
        <f>COUNTIFS(TableFA21324[Project],TableFA21324[[#This Row],[Project]])</f>
        <v>5</v>
      </c>
      <c r="K129" s="4" t="s">
        <v>31</v>
      </c>
      <c r="L129" s="4" t="s">
        <v>31</v>
      </c>
      <c r="M129" s="4" t="s">
        <v>31</v>
      </c>
      <c r="N129" s="4" t="s">
        <v>31</v>
      </c>
      <c r="O129" s="4" t="s">
        <v>31</v>
      </c>
      <c r="P129" s="4" t="s">
        <v>31</v>
      </c>
      <c r="Q129" s="4" t="s">
        <v>31</v>
      </c>
      <c r="R129" s="4" t="s">
        <v>31</v>
      </c>
      <c r="S129" s="4" t="s">
        <v>31</v>
      </c>
      <c r="T129" s="4" t="s">
        <v>31</v>
      </c>
      <c r="U129" s="4" t="s">
        <v>31</v>
      </c>
      <c r="V129" s="4" t="s">
        <v>31</v>
      </c>
      <c r="W129" s="4" t="s">
        <v>31</v>
      </c>
    </row>
    <row r="130" spans="1:24" s="4" customFormat="1" x14ac:dyDescent="0.2">
      <c r="A130" t="s">
        <v>315</v>
      </c>
      <c r="B130" t="s">
        <v>316</v>
      </c>
      <c r="C130" t="s">
        <v>26</v>
      </c>
      <c r="D130" t="s">
        <v>27</v>
      </c>
      <c r="E130" s="22" t="s">
        <v>28</v>
      </c>
      <c r="F130" s="4" t="s">
        <v>308</v>
      </c>
      <c r="G130" s="5">
        <f>COUNTIFS(TableFA21324[Project],TableFA21324[[#This Row],[Project]],TableFA21324[Program],TableFA21324[[#This Row],[Program]])</f>
        <v>5</v>
      </c>
      <c r="H130" s="5">
        <f>COUNTIFS(TableFA21324[Project],TableFA21324[[#This Row],[Project]])</f>
        <v>5</v>
      </c>
      <c r="K130" s="4" t="s">
        <v>31</v>
      </c>
      <c r="L130" s="4" t="s">
        <v>31</v>
      </c>
      <c r="M130" s="4" t="s">
        <v>31</v>
      </c>
      <c r="N130" s="4" t="s">
        <v>31</v>
      </c>
      <c r="O130" s="4" t="s">
        <v>31</v>
      </c>
      <c r="P130" s="4" t="s">
        <v>31</v>
      </c>
      <c r="Q130" s="4" t="s">
        <v>31</v>
      </c>
      <c r="R130" s="4" t="s">
        <v>31</v>
      </c>
      <c r="S130" s="4" t="s">
        <v>31</v>
      </c>
      <c r="T130" s="4" t="s">
        <v>31</v>
      </c>
      <c r="U130" s="4" t="s">
        <v>31</v>
      </c>
      <c r="V130" s="4" t="s">
        <v>31</v>
      </c>
      <c r="W130" s="4" t="s">
        <v>31</v>
      </c>
    </row>
    <row r="131" spans="1:24" s="4" customFormat="1" x14ac:dyDescent="0.2">
      <c r="A131" s="20" t="s">
        <v>317</v>
      </c>
      <c r="B131" s="20" t="s">
        <v>318</v>
      </c>
      <c r="C131" s="20" t="s">
        <v>26</v>
      </c>
      <c r="D131" s="20" t="s">
        <v>27</v>
      </c>
      <c r="E131" s="22" t="s">
        <v>28</v>
      </c>
      <c r="F131" s="5" t="s">
        <v>319</v>
      </c>
      <c r="G131" s="5">
        <f>COUNTIFS(TableFA21324[Project],TableFA21324[[#This Row],[Project]],TableFA21324[Program],TableFA21324[[#This Row],[Program]])</f>
        <v>3</v>
      </c>
      <c r="H131" s="5">
        <f>COUNTIFS(TableFA21324[Project],TableFA21324[[#This Row],[Project]])</f>
        <v>3</v>
      </c>
      <c r="I131" s="5" t="s">
        <v>30</v>
      </c>
      <c r="J131" s="5"/>
      <c r="K131" s="5" t="s">
        <v>31</v>
      </c>
      <c r="L131" s="5" t="s">
        <v>31</v>
      </c>
      <c r="M131" s="5" t="s">
        <v>31</v>
      </c>
      <c r="N131" s="5" t="s">
        <v>31</v>
      </c>
      <c r="O131" s="5" t="s">
        <v>31</v>
      </c>
      <c r="P131" s="5" t="s">
        <v>31</v>
      </c>
      <c r="Q131" s="5" t="s">
        <v>31</v>
      </c>
      <c r="R131" s="5" t="s">
        <v>31</v>
      </c>
      <c r="S131" s="5" t="s">
        <v>31</v>
      </c>
      <c r="T131" s="5" t="s">
        <v>31</v>
      </c>
      <c r="U131" s="5" t="s">
        <v>31</v>
      </c>
      <c r="V131" s="5" t="s">
        <v>31</v>
      </c>
      <c r="W131" s="5" t="s">
        <v>31</v>
      </c>
      <c r="X131" s="5"/>
    </row>
    <row r="132" spans="1:24" s="4" customFormat="1" x14ac:dyDescent="0.2">
      <c r="A132" t="s">
        <v>320</v>
      </c>
      <c r="B132" t="s">
        <v>321</v>
      </c>
      <c r="C132" t="s">
        <v>26</v>
      </c>
      <c r="D132" t="s">
        <v>27</v>
      </c>
      <c r="E132" s="22" t="s">
        <v>28</v>
      </c>
      <c r="F132" s="4" t="s">
        <v>319</v>
      </c>
      <c r="G132" s="5">
        <f>COUNTIFS(TableFA21324[Project],TableFA21324[[#This Row],[Project]],TableFA21324[Program],TableFA21324[[#This Row],[Program]])</f>
        <v>3</v>
      </c>
      <c r="H132" s="5">
        <f>COUNTIFS(TableFA21324[Project],TableFA21324[[#This Row],[Project]])</f>
        <v>3</v>
      </c>
      <c r="K132" s="4" t="s">
        <v>31</v>
      </c>
      <c r="L132" s="4" t="s">
        <v>31</v>
      </c>
      <c r="M132" s="4" t="s">
        <v>31</v>
      </c>
      <c r="N132" s="4" t="s">
        <v>31</v>
      </c>
      <c r="O132" s="4" t="s">
        <v>31</v>
      </c>
      <c r="P132" s="4" t="s">
        <v>31</v>
      </c>
      <c r="Q132" s="4" t="s">
        <v>31</v>
      </c>
      <c r="R132" s="4" t="s">
        <v>31</v>
      </c>
      <c r="S132" s="4" t="s">
        <v>31</v>
      </c>
      <c r="T132" s="4" t="s">
        <v>31</v>
      </c>
      <c r="U132" s="4" t="s">
        <v>31</v>
      </c>
      <c r="V132" s="4" t="s">
        <v>31</v>
      </c>
      <c r="W132" s="4" t="s">
        <v>31</v>
      </c>
    </row>
    <row r="133" spans="1:24" s="17" customFormat="1" x14ac:dyDescent="0.2">
      <c r="A133" t="s">
        <v>322</v>
      </c>
      <c r="B133" t="s">
        <v>323</v>
      </c>
      <c r="C133" t="s">
        <v>26</v>
      </c>
      <c r="D133" t="s">
        <v>27</v>
      </c>
      <c r="E133" s="22" t="s">
        <v>28</v>
      </c>
      <c r="F133" s="4" t="s">
        <v>319</v>
      </c>
      <c r="G133" s="5">
        <f>COUNTIFS(TableFA21324[Project],TableFA21324[[#This Row],[Project]],TableFA21324[Program],TableFA21324[[#This Row],[Program]])</f>
        <v>3</v>
      </c>
      <c r="H133" s="5">
        <f>COUNTIFS(TableFA21324[Project],TableFA21324[[#This Row],[Project]])</f>
        <v>3</v>
      </c>
      <c r="I133" s="4"/>
      <c r="J133" s="4"/>
      <c r="K133" s="4" t="s">
        <v>31</v>
      </c>
      <c r="L133" s="4" t="s">
        <v>31</v>
      </c>
      <c r="M133" s="4" t="s">
        <v>31</v>
      </c>
      <c r="N133" s="4" t="s">
        <v>31</v>
      </c>
      <c r="O133" s="4" t="s">
        <v>31</v>
      </c>
      <c r="P133" s="4" t="s">
        <v>31</v>
      </c>
      <c r="Q133" s="4" t="s">
        <v>31</v>
      </c>
      <c r="R133" s="4" t="s">
        <v>31</v>
      </c>
      <c r="S133" s="4" t="s">
        <v>31</v>
      </c>
      <c r="T133" s="4" t="s">
        <v>31</v>
      </c>
      <c r="U133" s="4" t="s">
        <v>31</v>
      </c>
      <c r="V133" s="4" t="s">
        <v>31</v>
      </c>
      <c r="W133" s="4" t="s">
        <v>31</v>
      </c>
      <c r="X133" s="4"/>
    </row>
    <row r="134" spans="1:24" s="5" customFormat="1" x14ac:dyDescent="0.2">
      <c r="A134" s="20" t="s">
        <v>324</v>
      </c>
      <c r="B134" s="20" t="s">
        <v>325</v>
      </c>
      <c r="C134" s="20" t="s">
        <v>26</v>
      </c>
      <c r="D134" s="20" t="s">
        <v>27</v>
      </c>
      <c r="E134" s="22" t="s">
        <v>28</v>
      </c>
      <c r="F134" s="5" t="s">
        <v>326</v>
      </c>
      <c r="G134" s="5">
        <f>COUNTIFS(TableFA21324[Project],TableFA21324[[#This Row],[Project]],TableFA21324[Program],TableFA21324[[#This Row],[Program]])</f>
        <v>3</v>
      </c>
      <c r="H134" s="5">
        <f>COUNTIFS(TableFA21324[Project],TableFA21324[[#This Row],[Project]])</f>
        <v>3</v>
      </c>
      <c r="I134" s="5" t="s">
        <v>30</v>
      </c>
      <c r="K134" s="5" t="s">
        <v>31</v>
      </c>
      <c r="L134" s="5" t="s">
        <v>31</v>
      </c>
      <c r="M134" s="5" t="s">
        <v>31</v>
      </c>
      <c r="N134" s="5" t="s">
        <v>31</v>
      </c>
      <c r="O134" s="4" t="s">
        <v>31</v>
      </c>
      <c r="P134" s="5" t="s">
        <v>31</v>
      </c>
      <c r="Q134" s="5" t="s">
        <v>31</v>
      </c>
      <c r="R134" s="5" t="s">
        <v>31</v>
      </c>
      <c r="S134" s="5" t="s">
        <v>31</v>
      </c>
      <c r="T134" s="5" t="s">
        <v>31</v>
      </c>
      <c r="U134" s="5" t="s">
        <v>31</v>
      </c>
      <c r="V134" s="5" t="s">
        <v>31</v>
      </c>
    </row>
    <row r="135" spans="1:24" s="4" customFormat="1" x14ac:dyDescent="0.2">
      <c r="A135" t="s">
        <v>327</v>
      </c>
      <c r="B135" t="s">
        <v>328</v>
      </c>
      <c r="C135" t="s">
        <v>26</v>
      </c>
      <c r="D135" t="s">
        <v>27</v>
      </c>
      <c r="E135" s="22" t="s">
        <v>28</v>
      </c>
      <c r="F135" s="4" t="s">
        <v>326</v>
      </c>
      <c r="G135" s="5">
        <f>COUNTIFS(TableFA21324[Project],TableFA21324[[#This Row],[Project]],TableFA21324[Program],TableFA21324[[#This Row],[Program]])</f>
        <v>3</v>
      </c>
      <c r="H135" s="5">
        <f>COUNTIFS(TableFA21324[Project],TableFA21324[[#This Row],[Project]])</f>
        <v>3</v>
      </c>
      <c r="K135" s="4" t="s">
        <v>31</v>
      </c>
      <c r="L135" s="4" t="s">
        <v>31</v>
      </c>
      <c r="M135" s="4" t="s">
        <v>31</v>
      </c>
      <c r="N135" s="4" t="s">
        <v>31</v>
      </c>
      <c r="O135" s="4" t="s">
        <v>31</v>
      </c>
      <c r="P135" s="4" t="s">
        <v>31</v>
      </c>
      <c r="Q135" s="4" t="s">
        <v>31</v>
      </c>
      <c r="R135" s="4" t="s">
        <v>31</v>
      </c>
      <c r="S135" s="4" t="s">
        <v>31</v>
      </c>
      <c r="T135" s="4" t="s">
        <v>31</v>
      </c>
      <c r="U135" s="4" t="s">
        <v>31</v>
      </c>
      <c r="V135" s="4" t="s">
        <v>31</v>
      </c>
    </row>
    <row r="136" spans="1:24" s="4" customFormat="1" x14ac:dyDescent="0.2">
      <c r="A136" t="s">
        <v>329</v>
      </c>
      <c r="B136" t="s">
        <v>330</v>
      </c>
      <c r="C136" t="s">
        <v>26</v>
      </c>
      <c r="D136" t="s">
        <v>27</v>
      </c>
      <c r="E136" s="22" t="s">
        <v>28</v>
      </c>
      <c r="F136" s="4" t="s">
        <v>326</v>
      </c>
      <c r="G136" s="5">
        <f>COUNTIFS(TableFA21324[Project],TableFA21324[[#This Row],[Project]],TableFA21324[Program],TableFA21324[[#This Row],[Program]])</f>
        <v>3</v>
      </c>
      <c r="H136" s="5">
        <f>COUNTIFS(TableFA21324[Project],TableFA21324[[#This Row],[Project]])</f>
        <v>3</v>
      </c>
      <c r="K136" s="4" t="s">
        <v>31</v>
      </c>
      <c r="L136" s="4" t="s">
        <v>31</v>
      </c>
      <c r="M136" s="4" t="s">
        <v>31</v>
      </c>
      <c r="N136" s="4" t="s">
        <v>31</v>
      </c>
      <c r="O136" s="4" t="s">
        <v>31</v>
      </c>
      <c r="P136" s="4" t="s">
        <v>31</v>
      </c>
      <c r="Q136" s="4" t="s">
        <v>31</v>
      </c>
      <c r="R136" s="4" t="s">
        <v>31</v>
      </c>
      <c r="S136" s="4" t="s">
        <v>31</v>
      </c>
      <c r="T136" s="4" t="s">
        <v>31</v>
      </c>
      <c r="U136" s="4" t="s">
        <v>31</v>
      </c>
      <c r="V136" s="4" t="s">
        <v>31</v>
      </c>
    </row>
    <row r="137" spans="1:24" s="4" customFormat="1" x14ac:dyDescent="0.2">
      <c r="A137" t="s">
        <v>331</v>
      </c>
      <c r="B137" t="s">
        <v>332</v>
      </c>
      <c r="C137" t="s">
        <v>26</v>
      </c>
      <c r="D137" t="s">
        <v>27</v>
      </c>
      <c r="E137" s="22" t="s">
        <v>28</v>
      </c>
      <c r="G137" s="5">
        <f>COUNTIFS(TableFA21324[Project],TableFA21324[[#This Row],[Project]],TableFA21324[Program],TableFA21324[[#This Row],[Program]])</f>
        <v>0</v>
      </c>
      <c r="H137" s="5">
        <f>COUNTIFS(TableFA21324[Project],TableFA21324[[#This Row],[Project]])</f>
        <v>0</v>
      </c>
    </row>
    <row r="138" spans="1:24" s="4" customFormat="1" x14ac:dyDescent="0.2">
      <c r="A138" t="s">
        <v>333</v>
      </c>
      <c r="B138" t="s">
        <v>334</v>
      </c>
      <c r="C138" t="s">
        <v>26</v>
      </c>
      <c r="D138" t="s">
        <v>27</v>
      </c>
      <c r="E138" s="22" t="s">
        <v>28</v>
      </c>
      <c r="G138" s="5">
        <f>COUNTIFS(TableFA21324[Project],TableFA21324[[#This Row],[Project]],TableFA21324[Program],TableFA21324[[#This Row],[Program]])</f>
        <v>0</v>
      </c>
      <c r="H138" s="5">
        <f>COUNTIFS(TableFA21324[Project],TableFA21324[[#This Row],[Project]])</f>
        <v>0</v>
      </c>
    </row>
    <row r="139" spans="1:24" s="4" customFormat="1" x14ac:dyDescent="0.2">
      <c r="A139" s="20" t="s">
        <v>335</v>
      </c>
      <c r="B139" s="20" t="s">
        <v>336</v>
      </c>
      <c r="C139" s="20" t="s">
        <v>337</v>
      </c>
      <c r="D139" s="20" t="s">
        <v>27</v>
      </c>
      <c r="E139" s="22" t="s">
        <v>28</v>
      </c>
      <c r="F139" s="5" t="s">
        <v>338</v>
      </c>
      <c r="G139" s="5">
        <f>COUNTIFS(TableFA21324[Project],TableFA21324[[#This Row],[Project]],TableFA21324[Program],TableFA21324[[#This Row],[Program]])</f>
        <v>3</v>
      </c>
      <c r="H139" s="5">
        <f>COUNTIFS(TableFA21324[Project],TableFA21324[[#This Row],[Project]])</f>
        <v>3</v>
      </c>
      <c r="I139" s="5" t="s">
        <v>30</v>
      </c>
      <c r="J139" s="5"/>
      <c r="K139" s="5" t="s">
        <v>31</v>
      </c>
      <c r="L139" s="5" t="s">
        <v>31</v>
      </c>
      <c r="M139" s="5" t="s">
        <v>31</v>
      </c>
      <c r="N139" s="5" t="s">
        <v>31</v>
      </c>
      <c r="O139" s="5" t="s">
        <v>31</v>
      </c>
      <c r="P139" s="5" t="s">
        <v>31</v>
      </c>
      <c r="Q139" s="5" t="s">
        <v>31</v>
      </c>
      <c r="R139" s="5"/>
      <c r="S139" s="5"/>
      <c r="T139" s="5"/>
      <c r="U139" s="5"/>
      <c r="V139" s="5"/>
      <c r="W139" s="5"/>
      <c r="X139" s="5"/>
    </row>
    <row r="140" spans="1:24" s="4" customFormat="1" x14ac:dyDescent="0.2">
      <c r="A140" t="s">
        <v>339</v>
      </c>
      <c r="B140" t="s">
        <v>340</v>
      </c>
      <c r="C140" t="s">
        <v>337</v>
      </c>
      <c r="D140" t="s">
        <v>27</v>
      </c>
      <c r="E140" s="22" t="s">
        <v>28</v>
      </c>
      <c r="F140" s="4" t="s">
        <v>338</v>
      </c>
      <c r="G140" s="5">
        <f>COUNTIFS(TableFA21324[Project],TableFA21324[[#This Row],[Project]],TableFA21324[Program],TableFA21324[[#This Row],[Program]])</f>
        <v>3</v>
      </c>
      <c r="H140" s="5">
        <f>COUNTIFS(TableFA21324[Project],TableFA21324[[#This Row],[Project]])</f>
        <v>3</v>
      </c>
      <c r="K140" s="4" t="s">
        <v>31</v>
      </c>
      <c r="L140" s="4" t="s">
        <v>31</v>
      </c>
      <c r="M140" s="5" t="s">
        <v>31</v>
      </c>
      <c r="N140" s="5" t="s">
        <v>31</v>
      </c>
      <c r="O140" s="5" t="s">
        <v>31</v>
      </c>
      <c r="P140" s="5" t="s">
        <v>31</v>
      </c>
      <c r="Q140" s="5" t="s">
        <v>31</v>
      </c>
    </row>
    <row r="141" spans="1:24" s="4" customFormat="1" x14ac:dyDescent="0.2">
      <c r="A141" t="s">
        <v>341</v>
      </c>
      <c r="B141" t="s">
        <v>342</v>
      </c>
      <c r="C141" t="s">
        <v>337</v>
      </c>
      <c r="D141" t="s">
        <v>27</v>
      </c>
      <c r="E141" s="22" t="s">
        <v>28</v>
      </c>
      <c r="F141" s="4" t="s">
        <v>338</v>
      </c>
      <c r="G141" s="5">
        <f>COUNTIFS(TableFA21324[Project],TableFA21324[[#This Row],[Project]],TableFA21324[Program],TableFA21324[[#This Row],[Program]])</f>
        <v>3</v>
      </c>
      <c r="H141" s="5">
        <f>COUNTIFS(TableFA21324[Project],TableFA21324[[#This Row],[Project]])</f>
        <v>3</v>
      </c>
      <c r="K141" s="4" t="s">
        <v>31</v>
      </c>
      <c r="L141" s="4" t="s">
        <v>31</v>
      </c>
      <c r="M141" s="5" t="s">
        <v>31</v>
      </c>
      <c r="N141" s="5" t="s">
        <v>31</v>
      </c>
      <c r="O141" s="5" t="s">
        <v>31</v>
      </c>
      <c r="P141" s="5" t="s">
        <v>31</v>
      </c>
      <c r="Q141" s="5" t="s">
        <v>31</v>
      </c>
    </row>
    <row r="142" spans="1:24" s="4" customFormat="1" x14ac:dyDescent="0.2">
      <c r="A142" s="20" t="s">
        <v>343</v>
      </c>
      <c r="B142" s="20" t="s">
        <v>344</v>
      </c>
      <c r="C142" s="20" t="s">
        <v>337</v>
      </c>
      <c r="D142" s="20" t="s">
        <v>27</v>
      </c>
      <c r="E142" s="22" t="s">
        <v>28</v>
      </c>
      <c r="F142" s="5" t="s">
        <v>345</v>
      </c>
      <c r="G142" s="5">
        <f>COUNTIFS(TableFA21324[Project],TableFA21324[[#This Row],[Project]],TableFA21324[Program],TableFA21324[[#This Row],[Program]])</f>
        <v>5</v>
      </c>
      <c r="H142" s="5">
        <f>COUNTIFS(TableFA21324[Project],TableFA21324[[#This Row],[Project]])</f>
        <v>5</v>
      </c>
      <c r="I142" s="5" t="s">
        <v>30</v>
      </c>
      <c r="J142" s="5"/>
      <c r="K142" s="5"/>
      <c r="L142" s="5"/>
      <c r="M142" s="5"/>
      <c r="N142" s="5"/>
      <c r="O142" s="5"/>
      <c r="P142" s="5"/>
      <c r="Q142" s="5"/>
      <c r="R142" s="5"/>
      <c r="S142" s="5"/>
      <c r="T142" s="5"/>
      <c r="U142" s="5"/>
      <c r="V142" s="5"/>
      <c r="W142" s="5"/>
      <c r="X142" s="5"/>
    </row>
    <row r="143" spans="1:24" s="4" customFormat="1" x14ac:dyDescent="0.2">
      <c r="A143" t="s">
        <v>346</v>
      </c>
      <c r="B143" t="s">
        <v>347</v>
      </c>
      <c r="C143" t="s">
        <v>337</v>
      </c>
      <c r="D143" t="s">
        <v>27</v>
      </c>
      <c r="E143" s="22" t="s">
        <v>28</v>
      </c>
      <c r="F143" s="4" t="s">
        <v>345</v>
      </c>
      <c r="G143" s="5">
        <f>COUNTIFS(TableFA21324[Project],TableFA21324[[#This Row],[Project]],TableFA21324[Program],TableFA21324[[#This Row],[Program]])</f>
        <v>5</v>
      </c>
      <c r="H143" s="5">
        <f>COUNTIFS(TableFA21324[Project],TableFA21324[[#This Row],[Project]])</f>
        <v>5</v>
      </c>
    </row>
    <row r="144" spans="1:24" s="4" customFormat="1" x14ac:dyDescent="0.2">
      <c r="A144" t="s">
        <v>348</v>
      </c>
      <c r="B144" t="s">
        <v>349</v>
      </c>
      <c r="C144" t="s">
        <v>337</v>
      </c>
      <c r="D144" t="s">
        <v>27</v>
      </c>
      <c r="E144" s="22" t="s">
        <v>28</v>
      </c>
      <c r="F144" s="4" t="s">
        <v>345</v>
      </c>
      <c r="G144" s="5">
        <f>COUNTIFS(TableFA21324[Project],TableFA21324[[#This Row],[Project]],TableFA21324[Program],TableFA21324[[#This Row],[Program]])</f>
        <v>5</v>
      </c>
      <c r="H144" s="5">
        <f>COUNTIFS(TableFA21324[Project],TableFA21324[[#This Row],[Project]])</f>
        <v>5</v>
      </c>
    </row>
    <row r="145" spans="1:24" s="4" customFormat="1" x14ac:dyDescent="0.2">
      <c r="A145" t="s">
        <v>350</v>
      </c>
      <c r="B145" t="s">
        <v>351</v>
      </c>
      <c r="C145" t="s">
        <v>337</v>
      </c>
      <c r="D145" t="s">
        <v>27</v>
      </c>
      <c r="E145" s="22" t="s">
        <v>28</v>
      </c>
      <c r="F145" s="4" t="s">
        <v>345</v>
      </c>
      <c r="G145" s="5">
        <f>COUNTIFS(TableFA21324[Project],TableFA21324[[#This Row],[Project]],TableFA21324[Program],TableFA21324[[#This Row],[Program]])</f>
        <v>5</v>
      </c>
      <c r="H145" s="5">
        <f>COUNTIFS(TableFA21324[Project],TableFA21324[[#This Row],[Project]])</f>
        <v>5</v>
      </c>
    </row>
    <row r="146" spans="1:24" s="4" customFormat="1" x14ac:dyDescent="0.2">
      <c r="A146" t="s">
        <v>352</v>
      </c>
      <c r="B146" s="4" t="s">
        <v>353</v>
      </c>
      <c r="C146" s="4" t="s">
        <v>337</v>
      </c>
      <c r="D146" s="3" t="s">
        <v>27</v>
      </c>
      <c r="E146" s="22" t="s">
        <v>28</v>
      </c>
      <c r="F146" s="4" t="s">
        <v>345</v>
      </c>
      <c r="G146" s="5">
        <f>COUNTIFS(TableFA21324[Project],TableFA21324[[#This Row],[Project]],TableFA21324[Program],TableFA21324[[#This Row],[Program]])</f>
        <v>5</v>
      </c>
      <c r="H146" s="5">
        <f>COUNTIFS(TableFA21324[Project],TableFA21324[[#This Row],[Project]])</f>
        <v>5</v>
      </c>
    </row>
    <row r="147" spans="1:24" s="4" customFormat="1" x14ac:dyDescent="0.2">
      <c r="A147" s="20" t="s">
        <v>354</v>
      </c>
      <c r="B147" s="26" t="s">
        <v>355</v>
      </c>
      <c r="C147" s="26" t="s">
        <v>337</v>
      </c>
      <c r="D147" s="26" t="s">
        <v>27</v>
      </c>
      <c r="E147" s="22" t="s">
        <v>28</v>
      </c>
      <c r="F147" s="8" t="s">
        <v>356</v>
      </c>
      <c r="G147" s="5">
        <f>COUNTIFS(TableFA21324[Project],TableFA21324[[#This Row],[Project]],TableFA21324[Program],TableFA21324[[#This Row],[Program]])</f>
        <v>5</v>
      </c>
      <c r="H147" s="5">
        <f>COUNTIFS(TableFA21324[Project],TableFA21324[[#This Row],[Project]])</f>
        <v>5</v>
      </c>
      <c r="I147" s="8" t="s">
        <v>30</v>
      </c>
      <c r="K147" s="5" t="s">
        <v>31</v>
      </c>
      <c r="L147" s="5" t="s">
        <v>31</v>
      </c>
      <c r="M147" s="5" t="s">
        <v>31</v>
      </c>
      <c r="N147" s="5" t="s">
        <v>31</v>
      </c>
      <c r="O147" s="5" t="s">
        <v>31</v>
      </c>
      <c r="P147" s="5" t="s">
        <v>31</v>
      </c>
      <c r="Q147" s="5" t="s">
        <v>31</v>
      </c>
      <c r="R147" s="5" t="s">
        <v>31</v>
      </c>
      <c r="S147" s="5" t="s">
        <v>31</v>
      </c>
      <c r="T147" s="5" t="s">
        <v>31</v>
      </c>
      <c r="U147" s="5" t="s">
        <v>31</v>
      </c>
      <c r="V147" s="5" t="s">
        <v>31</v>
      </c>
      <c r="W147" s="5" t="s">
        <v>31</v>
      </c>
    </row>
    <row r="148" spans="1:24" s="4" customFormat="1" x14ac:dyDescent="0.2">
      <c r="A148" t="s">
        <v>357</v>
      </c>
      <c r="B148" t="s">
        <v>358</v>
      </c>
      <c r="C148" t="s">
        <v>337</v>
      </c>
      <c r="D148" t="s">
        <v>27</v>
      </c>
      <c r="E148" s="22" t="s">
        <v>28</v>
      </c>
      <c r="F148" s="6" t="s">
        <v>356</v>
      </c>
      <c r="G148" s="5">
        <f>COUNTIFS(TableFA21324[Project],TableFA21324[[#This Row],[Project]],TableFA21324[Program],TableFA21324[[#This Row],[Program]])</f>
        <v>5</v>
      </c>
      <c r="H148" s="5">
        <f>COUNTIFS(TableFA21324[Project],TableFA21324[[#This Row],[Project]])</f>
        <v>5</v>
      </c>
      <c r="K148" s="4" t="s">
        <v>31</v>
      </c>
      <c r="L148" s="4" t="s">
        <v>31</v>
      </c>
      <c r="M148" s="4" t="s">
        <v>31</v>
      </c>
      <c r="N148" s="4" t="s">
        <v>31</v>
      </c>
      <c r="O148" s="4" t="s">
        <v>31</v>
      </c>
      <c r="P148" s="4" t="s">
        <v>31</v>
      </c>
      <c r="Q148" s="4" t="s">
        <v>31</v>
      </c>
      <c r="R148" s="4" t="s">
        <v>31</v>
      </c>
      <c r="S148" s="4" t="s">
        <v>31</v>
      </c>
      <c r="T148" s="4" t="s">
        <v>31</v>
      </c>
      <c r="U148" s="4" t="s">
        <v>31</v>
      </c>
      <c r="V148" s="4" t="s">
        <v>31</v>
      </c>
      <c r="W148" s="4" t="s">
        <v>31</v>
      </c>
    </row>
    <row r="149" spans="1:24" s="4" customFormat="1" x14ac:dyDescent="0.2">
      <c r="A149" t="s">
        <v>359</v>
      </c>
      <c r="B149" t="s">
        <v>360</v>
      </c>
      <c r="C149" t="s">
        <v>337</v>
      </c>
      <c r="D149" t="s">
        <v>27</v>
      </c>
      <c r="E149" s="22" t="s">
        <v>28</v>
      </c>
      <c r="F149" s="4" t="s">
        <v>356</v>
      </c>
      <c r="G149" s="5">
        <f>COUNTIFS(TableFA21324[Project],TableFA21324[[#This Row],[Project]],TableFA21324[Program],TableFA21324[[#This Row],[Program]])</f>
        <v>5</v>
      </c>
      <c r="H149" s="5">
        <f>COUNTIFS(TableFA21324[Project],TableFA21324[[#This Row],[Project]])</f>
        <v>5</v>
      </c>
      <c r="K149" s="4" t="s">
        <v>31</v>
      </c>
      <c r="L149" s="4" t="s">
        <v>31</v>
      </c>
      <c r="M149" s="4" t="s">
        <v>31</v>
      </c>
      <c r="N149" s="4" t="s">
        <v>31</v>
      </c>
      <c r="O149" s="4" t="s">
        <v>31</v>
      </c>
      <c r="P149" s="4" t="s">
        <v>31</v>
      </c>
      <c r="Q149" s="4" t="s">
        <v>31</v>
      </c>
      <c r="R149" s="4" t="s">
        <v>31</v>
      </c>
      <c r="S149" s="4" t="s">
        <v>31</v>
      </c>
      <c r="T149" s="4" t="s">
        <v>31</v>
      </c>
      <c r="U149" s="4" t="s">
        <v>31</v>
      </c>
      <c r="V149" s="4" t="s">
        <v>31</v>
      </c>
      <c r="W149" s="4" t="s">
        <v>31</v>
      </c>
    </row>
    <row r="150" spans="1:24" s="4" customFormat="1" x14ac:dyDescent="0.2">
      <c r="A150" t="s">
        <v>361</v>
      </c>
      <c r="B150" t="s">
        <v>362</v>
      </c>
      <c r="C150" t="s">
        <v>337</v>
      </c>
      <c r="D150" t="s">
        <v>27</v>
      </c>
      <c r="E150" s="22" t="s">
        <v>28</v>
      </c>
      <c r="F150" s="4" t="s">
        <v>356</v>
      </c>
      <c r="G150" s="5">
        <f>COUNTIFS(TableFA21324[Project],TableFA21324[[#This Row],[Project]],TableFA21324[Program],TableFA21324[[#This Row],[Program]])</f>
        <v>5</v>
      </c>
      <c r="H150" s="5">
        <f>COUNTIFS(TableFA21324[Project],TableFA21324[[#This Row],[Project]])</f>
        <v>5</v>
      </c>
      <c r="K150" s="4" t="s">
        <v>31</v>
      </c>
      <c r="L150" s="4" t="s">
        <v>31</v>
      </c>
      <c r="M150" s="4" t="s">
        <v>31</v>
      </c>
      <c r="N150" s="4" t="s">
        <v>31</v>
      </c>
      <c r="O150" s="4" t="s">
        <v>31</v>
      </c>
      <c r="P150" s="4" t="s">
        <v>31</v>
      </c>
      <c r="Q150" s="4" t="s">
        <v>31</v>
      </c>
      <c r="R150" s="4" t="s">
        <v>31</v>
      </c>
      <c r="S150" s="4" t="s">
        <v>31</v>
      </c>
      <c r="T150" s="4" t="s">
        <v>31</v>
      </c>
      <c r="U150" s="4" t="s">
        <v>31</v>
      </c>
      <c r="V150" s="4" t="s">
        <v>31</v>
      </c>
      <c r="W150" s="4" t="s">
        <v>31</v>
      </c>
    </row>
    <row r="151" spans="1:24" s="4" customFormat="1" x14ac:dyDescent="0.2">
      <c r="A151" t="s">
        <v>363</v>
      </c>
      <c r="B151" t="s">
        <v>364</v>
      </c>
      <c r="C151" t="s">
        <v>337</v>
      </c>
      <c r="D151" t="s">
        <v>27</v>
      </c>
      <c r="E151" s="22" t="s">
        <v>28</v>
      </c>
      <c r="F151" s="4" t="s">
        <v>356</v>
      </c>
      <c r="G151" s="5">
        <f>COUNTIFS(TableFA21324[Project],TableFA21324[[#This Row],[Project]],TableFA21324[Program],TableFA21324[[#This Row],[Program]])</f>
        <v>5</v>
      </c>
      <c r="H151" s="5">
        <f>COUNTIFS(TableFA21324[Project],TableFA21324[[#This Row],[Project]])</f>
        <v>5</v>
      </c>
      <c r="K151" s="4" t="s">
        <v>31</v>
      </c>
      <c r="L151" s="4" t="s">
        <v>31</v>
      </c>
      <c r="M151" s="4" t="s">
        <v>31</v>
      </c>
      <c r="N151" s="4" t="s">
        <v>31</v>
      </c>
      <c r="O151" s="4" t="s">
        <v>31</v>
      </c>
      <c r="P151" s="4" t="s">
        <v>31</v>
      </c>
      <c r="Q151" s="4" t="s">
        <v>31</v>
      </c>
      <c r="R151" s="4" t="s">
        <v>31</v>
      </c>
      <c r="S151" s="4" t="s">
        <v>31</v>
      </c>
      <c r="T151" s="4" t="s">
        <v>31</v>
      </c>
      <c r="U151" s="4" t="s">
        <v>31</v>
      </c>
      <c r="V151" s="4" t="s">
        <v>31</v>
      </c>
      <c r="W151" s="4" t="s">
        <v>31</v>
      </c>
    </row>
    <row r="152" spans="1:24" s="4" customFormat="1" x14ac:dyDescent="0.2">
      <c r="A152" s="20" t="s">
        <v>365</v>
      </c>
      <c r="B152" s="20" t="s">
        <v>366</v>
      </c>
      <c r="C152" s="20" t="s">
        <v>337</v>
      </c>
      <c r="D152" s="20" t="s">
        <v>27</v>
      </c>
      <c r="E152" s="22" t="s">
        <v>28</v>
      </c>
      <c r="F152" s="5" t="s">
        <v>367</v>
      </c>
      <c r="G152" s="5">
        <f>COUNTIFS(TableFA21324[Project],TableFA21324[[#This Row],[Project]],TableFA21324[Program],TableFA21324[[#This Row],[Program]])</f>
        <v>4</v>
      </c>
      <c r="H152" s="5">
        <f>COUNTIFS(TableFA21324[Project],TableFA21324[[#This Row],[Project]])</f>
        <v>4</v>
      </c>
      <c r="I152" s="5" t="s">
        <v>30</v>
      </c>
      <c r="J152" s="5"/>
      <c r="K152" s="5" t="s">
        <v>31</v>
      </c>
      <c r="L152" s="5" t="s">
        <v>31</v>
      </c>
      <c r="M152" s="5" t="s">
        <v>31</v>
      </c>
      <c r="N152" s="5" t="s">
        <v>31</v>
      </c>
      <c r="O152" s="5" t="s">
        <v>31</v>
      </c>
      <c r="P152" s="5" t="s">
        <v>31</v>
      </c>
      <c r="Q152" s="5" t="s">
        <v>31</v>
      </c>
      <c r="R152" s="5" t="s">
        <v>31</v>
      </c>
      <c r="S152" s="5" t="s">
        <v>31</v>
      </c>
      <c r="T152" s="5" t="s">
        <v>31</v>
      </c>
      <c r="U152" s="5" t="s">
        <v>31</v>
      </c>
      <c r="V152" s="5" t="s">
        <v>31</v>
      </c>
      <c r="W152" s="5" t="s">
        <v>31</v>
      </c>
      <c r="X152" s="5" t="s">
        <v>31</v>
      </c>
    </row>
    <row r="153" spans="1:24" s="4" customFormat="1" x14ac:dyDescent="0.2">
      <c r="A153" t="s">
        <v>368</v>
      </c>
      <c r="B153" t="s">
        <v>369</v>
      </c>
      <c r="C153" t="s">
        <v>337</v>
      </c>
      <c r="D153" t="s">
        <v>27</v>
      </c>
      <c r="E153" s="22" t="s">
        <v>28</v>
      </c>
      <c r="F153" s="4" t="s">
        <v>367</v>
      </c>
      <c r="G153" s="5">
        <f>COUNTIFS(TableFA21324[Project],TableFA21324[[#This Row],[Project]],TableFA21324[Program],TableFA21324[[#This Row],[Program]])</f>
        <v>4</v>
      </c>
      <c r="H153" s="5">
        <f>COUNTIFS(TableFA21324[Project],TableFA21324[[#This Row],[Project]])</f>
        <v>4</v>
      </c>
      <c r="K153" s="4" t="s">
        <v>31</v>
      </c>
      <c r="L153" s="4" t="s">
        <v>31</v>
      </c>
      <c r="M153" s="4" t="s">
        <v>31</v>
      </c>
      <c r="N153" s="4" t="s">
        <v>31</v>
      </c>
      <c r="O153" s="4" t="s">
        <v>31</v>
      </c>
      <c r="P153" s="4" t="s">
        <v>31</v>
      </c>
      <c r="Q153" s="4" t="s">
        <v>31</v>
      </c>
      <c r="R153" s="4" t="s">
        <v>31</v>
      </c>
      <c r="S153" s="4" t="s">
        <v>31</v>
      </c>
      <c r="T153" s="4" t="s">
        <v>31</v>
      </c>
      <c r="U153" s="4" t="s">
        <v>31</v>
      </c>
      <c r="V153" s="4" t="s">
        <v>31</v>
      </c>
      <c r="W153" s="4" t="s">
        <v>31</v>
      </c>
      <c r="X153" s="4" t="s">
        <v>31</v>
      </c>
    </row>
    <row r="154" spans="1:24" s="4" customFormat="1" x14ac:dyDescent="0.2">
      <c r="A154" t="s">
        <v>370</v>
      </c>
      <c r="B154" t="s">
        <v>371</v>
      </c>
      <c r="C154" t="s">
        <v>337</v>
      </c>
      <c r="D154" t="s">
        <v>27</v>
      </c>
      <c r="E154" s="22" t="s">
        <v>28</v>
      </c>
      <c r="F154" s="4" t="s">
        <v>367</v>
      </c>
      <c r="G154" s="5">
        <f>COUNTIFS(TableFA21324[Project],TableFA21324[[#This Row],[Project]],TableFA21324[Program],TableFA21324[[#This Row],[Program]])</f>
        <v>4</v>
      </c>
      <c r="H154" s="5">
        <f>COUNTIFS(TableFA21324[Project],TableFA21324[[#This Row],[Project]])</f>
        <v>4</v>
      </c>
      <c r="K154" s="4" t="s">
        <v>31</v>
      </c>
      <c r="L154" s="4" t="s">
        <v>31</v>
      </c>
      <c r="M154" s="4" t="s">
        <v>31</v>
      </c>
      <c r="N154" s="4" t="s">
        <v>31</v>
      </c>
      <c r="O154" s="4" t="s">
        <v>31</v>
      </c>
      <c r="P154" s="4" t="s">
        <v>31</v>
      </c>
      <c r="Q154" s="4" t="s">
        <v>31</v>
      </c>
      <c r="R154" s="4" t="s">
        <v>31</v>
      </c>
      <c r="S154" s="4" t="s">
        <v>31</v>
      </c>
      <c r="T154" s="4" t="s">
        <v>31</v>
      </c>
      <c r="U154" s="4" t="s">
        <v>31</v>
      </c>
      <c r="V154" s="4" t="s">
        <v>31</v>
      </c>
      <c r="W154" s="4" t="s">
        <v>31</v>
      </c>
      <c r="X154" s="4" t="s">
        <v>31</v>
      </c>
    </row>
    <row r="155" spans="1:24" s="4" customFormat="1" x14ac:dyDescent="0.2">
      <c r="A155" t="s">
        <v>372</v>
      </c>
      <c r="B155" t="s">
        <v>373</v>
      </c>
      <c r="C155" t="s">
        <v>337</v>
      </c>
      <c r="D155" t="s">
        <v>27</v>
      </c>
      <c r="E155" s="22" t="s">
        <v>28</v>
      </c>
      <c r="F155" s="4" t="s">
        <v>367</v>
      </c>
      <c r="G155" s="5">
        <f>COUNTIFS(TableFA21324[Project],TableFA21324[[#This Row],[Project]],TableFA21324[Program],TableFA21324[[#This Row],[Program]])</f>
        <v>4</v>
      </c>
      <c r="H155" s="5">
        <f>COUNTIFS(TableFA21324[Project],TableFA21324[[#This Row],[Project]])</f>
        <v>4</v>
      </c>
      <c r="K155" s="4" t="s">
        <v>31</v>
      </c>
      <c r="L155" s="4" t="s">
        <v>31</v>
      </c>
      <c r="M155" s="4" t="s">
        <v>31</v>
      </c>
      <c r="N155" s="4" t="s">
        <v>31</v>
      </c>
      <c r="O155" s="4" t="s">
        <v>31</v>
      </c>
      <c r="P155" s="4" t="s">
        <v>31</v>
      </c>
      <c r="Q155" s="4" t="s">
        <v>31</v>
      </c>
      <c r="R155" s="4" t="s">
        <v>31</v>
      </c>
      <c r="S155" s="4" t="s">
        <v>31</v>
      </c>
      <c r="T155" s="4" t="s">
        <v>31</v>
      </c>
      <c r="U155" s="4" t="s">
        <v>31</v>
      </c>
      <c r="V155" s="4" t="s">
        <v>31</v>
      </c>
      <c r="W155" s="4" t="s">
        <v>31</v>
      </c>
      <c r="X155" s="4" t="s">
        <v>31</v>
      </c>
    </row>
    <row r="156" spans="1:24" s="5" customFormat="1" x14ac:dyDescent="0.2">
      <c r="A156" s="20" t="s">
        <v>374</v>
      </c>
      <c r="B156" s="20" t="s">
        <v>375</v>
      </c>
      <c r="C156" s="20" t="s">
        <v>337</v>
      </c>
      <c r="D156" s="20" t="s">
        <v>27</v>
      </c>
      <c r="E156" s="22" t="s">
        <v>28</v>
      </c>
      <c r="F156" s="5" t="s">
        <v>376</v>
      </c>
      <c r="G156" s="5">
        <f>COUNTIFS(TableFA21324[Project],TableFA21324[[#This Row],[Project]],TableFA21324[Program],TableFA21324[[#This Row],[Program]])</f>
        <v>4</v>
      </c>
      <c r="H156" s="5">
        <f>COUNTIFS(TableFA21324[Project],TableFA21324[[#This Row],[Project]])</f>
        <v>4</v>
      </c>
      <c r="I156" s="5" t="s">
        <v>30</v>
      </c>
      <c r="K156" s="5" t="s">
        <v>31</v>
      </c>
      <c r="L156" s="5" t="s">
        <v>31</v>
      </c>
      <c r="M156" s="5" t="s">
        <v>31</v>
      </c>
    </row>
    <row r="157" spans="1:24" s="4" customFormat="1" x14ac:dyDescent="0.2">
      <c r="A157" t="s">
        <v>377</v>
      </c>
      <c r="B157" t="s">
        <v>378</v>
      </c>
      <c r="C157" t="s">
        <v>337</v>
      </c>
      <c r="D157" t="s">
        <v>27</v>
      </c>
      <c r="E157" s="22" t="s">
        <v>28</v>
      </c>
      <c r="F157" s="4" t="s">
        <v>376</v>
      </c>
      <c r="G157" s="5">
        <f>COUNTIFS(TableFA21324[Project],TableFA21324[[#This Row],[Project]],TableFA21324[Program],TableFA21324[[#This Row],[Program]])</f>
        <v>4</v>
      </c>
      <c r="H157" s="5">
        <f>COUNTIFS(TableFA21324[Project],TableFA21324[[#This Row],[Project]])</f>
        <v>4</v>
      </c>
      <c r="K157" s="4" t="s">
        <v>31</v>
      </c>
    </row>
    <row r="158" spans="1:24" s="4" customFormat="1" x14ac:dyDescent="0.2">
      <c r="A158" s="4" t="s">
        <v>379</v>
      </c>
      <c r="B158" s="4" t="s">
        <v>380</v>
      </c>
      <c r="C158" s="4" t="s">
        <v>337</v>
      </c>
      <c r="D158" s="3" t="s">
        <v>27</v>
      </c>
      <c r="E158" s="22" t="s">
        <v>28</v>
      </c>
      <c r="F158" s="4" t="s">
        <v>376</v>
      </c>
      <c r="G158" s="5">
        <f>COUNTIFS(TableFA21324[Project],TableFA21324[[#This Row],[Project]],TableFA21324[Program],TableFA21324[[#This Row],[Program]])</f>
        <v>4</v>
      </c>
      <c r="H158" s="5">
        <f>COUNTIFS(TableFA21324[Project],TableFA21324[[#This Row],[Project]])</f>
        <v>4</v>
      </c>
      <c r="K158" s="4" t="s">
        <v>31</v>
      </c>
      <c r="L158" s="4" t="s">
        <v>31</v>
      </c>
      <c r="M158" s="4" t="s">
        <v>31</v>
      </c>
    </row>
    <row r="159" spans="1:24" s="4" customFormat="1" x14ac:dyDescent="0.2">
      <c r="A159" t="s">
        <v>381</v>
      </c>
      <c r="B159" s="4" t="s">
        <v>382</v>
      </c>
      <c r="C159" s="4" t="s">
        <v>337</v>
      </c>
      <c r="D159" t="s">
        <v>27</v>
      </c>
      <c r="E159" s="22" t="s">
        <v>28</v>
      </c>
      <c r="F159" s="4" t="s">
        <v>376</v>
      </c>
      <c r="G159" s="5">
        <f>COUNTIFS(TableFA21324[Project],TableFA21324[[#This Row],[Project]],TableFA21324[Program],TableFA21324[[#This Row],[Program]])</f>
        <v>4</v>
      </c>
      <c r="H159" s="5">
        <f>COUNTIFS(TableFA21324[Project],TableFA21324[[#This Row],[Project]])</f>
        <v>4</v>
      </c>
      <c r="K159" s="4" t="s">
        <v>31</v>
      </c>
      <c r="L159" s="4" t="s">
        <v>31</v>
      </c>
      <c r="M159" s="4" t="s">
        <v>31</v>
      </c>
    </row>
    <row r="160" spans="1:24" s="5" customFormat="1" x14ac:dyDescent="0.2">
      <c r="A160" s="20" t="s">
        <v>383</v>
      </c>
      <c r="B160" s="20" t="s">
        <v>384</v>
      </c>
      <c r="C160" s="20" t="s">
        <v>337</v>
      </c>
      <c r="D160" s="20" t="s">
        <v>27</v>
      </c>
      <c r="E160" s="22" t="s">
        <v>28</v>
      </c>
      <c r="F160" s="5" t="s">
        <v>385</v>
      </c>
      <c r="G160" s="5">
        <f>COUNTIFS(TableFA21324[Project],TableFA21324[[#This Row],[Project]],TableFA21324[Program],TableFA21324[[#This Row],[Program]])</f>
        <v>4</v>
      </c>
      <c r="H160" s="5">
        <f>COUNTIFS(TableFA21324[Project],TableFA21324[[#This Row],[Project]])</f>
        <v>4</v>
      </c>
      <c r="I160" s="5" t="s">
        <v>30</v>
      </c>
      <c r="K160" s="5" t="s">
        <v>31</v>
      </c>
      <c r="L160" s="5" t="s">
        <v>31</v>
      </c>
      <c r="M160" s="5" t="s">
        <v>31</v>
      </c>
      <c r="N160" s="5" t="s">
        <v>31</v>
      </c>
      <c r="O160" s="5" t="s">
        <v>31</v>
      </c>
      <c r="P160" s="5" t="s">
        <v>31</v>
      </c>
      <c r="Q160" s="5" t="s">
        <v>31</v>
      </c>
      <c r="R160" s="5" t="s">
        <v>31</v>
      </c>
      <c r="S160" s="5" t="s">
        <v>31</v>
      </c>
      <c r="T160" s="5" t="s">
        <v>31</v>
      </c>
      <c r="U160" s="5" t="s">
        <v>31</v>
      </c>
      <c r="V160" s="5" t="s">
        <v>31</v>
      </c>
      <c r="W160" s="5" t="s">
        <v>31</v>
      </c>
      <c r="X160" s="5" t="s">
        <v>31</v>
      </c>
    </row>
    <row r="161" spans="1:24" s="4" customFormat="1" x14ac:dyDescent="0.2">
      <c r="A161" t="s">
        <v>386</v>
      </c>
      <c r="B161" t="s">
        <v>387</v>
      </c>
      <c r="C161" t="s">
        <v>337</v>
      </c>
      <c r="D161" t="s">
        <v>27</v>
      </c>
      <c r="E161" s="22" t="s">
        <v>28</v>
      </c>
      <c r="F161" s="4" t="s">
        <v>385</v>
      </c>
      <c r="G161" s="5">
        <f>COUNTIFS(TableFA21324[Project],TableFA21324[[#This Row],[Project]],TableFA21324[Program],TableFA21324[[#This Row],[Program]])</f>
        <v>4</v>
      </c>
      <c r="H161" s="5">
        <f>COUNTIFS(TableFA21324[Project],TableFA21324[[#This Row],[Project]])</f>
        <v>4</v>
      </c>
      <c r="K161" s="4" t="s">
        <v>31</v>
      </c>
      <c r="L161" s="4" t="s">
        <v>31</v>
      </c>
      <c r="M161" s="4" t="s">
        <v>31</v>
      </c>
      <c r="N161" s="4" t="s">
        <v>31</v>
      </c>
      <c r="O161" s="4" t="s">
        <v>31</v>
      </c>
      <c r="P161" s="4" t="s">
        <v>31</v>
      </c>
      <c r="Q161" s="4" t="s">
        <v>31</v>
      </c>
      <c r="R161" s="4" t="s">
        <v>31</v>
      </c>
      <c r="S161" s="4" t="s">
        <v>31</v>
      </c>
      <c r="T161" s="4" t="s">
        <v>31</v>
      </c>
      <c r="U161" s="4" t="s">
        <v>31</v>
      </c>
      <c r="V161" s="4" t="s">
        <v>31</v>
      </c>
      <c r="W161" s="4" t="s">
        <v>31</v>
      </c>
      <c r="X161" s="4" t="s">
        <v>31</v>
      </c>
    </row>
    <row r="162" spans="1:24" s="4" customFormat="1" x14ac:dyDescent="0.2">
      <c r="A162" t="s">
        <v>388</v>
      </c>
      <c r="B162" t="s">
        <v>389</v>
      </c>
      <c r="C162" t="s">
        <v>337</v>
      </c>
      <c r="D162" t="s">
        <v>27</v>
      </c>
      <c r="E162" s="22" t="s">
        <v>28</v>
      </c>
      <c r="F162" s="4" t="s">
        <v>385</v>
      </c>
      <c r="G162" s="5">
        <f>COUNTIFS(TableFA21324[Project],TableFA21324[[#This Row],[Project]],TableFA21324[Program],TableFA21324[[#This Row],[Program]])</f>
        <v>4</v>
      </c>
      <c r="H162" s="5">
        <f>COUNTIFS(TableFA21324[Project],TableFA21324[[#This Row],[Project]])</f>
        <v>4</v>
      </c>
      <c r="K162" s="4" t="s">
        <v>31</v>
      </c>
      <c r="L162" s="4" t="s">
        <v>31</v>
      </c>
      <c r="M162" s="4" t="s">
        <v>31</v>
      </c>
      <c r="N162" s="4" t="s">
        <v>31</v>
      </c>
      <c r="O162" s="4" t="s">
        <v>31</v>
      </c>
      <c r="P162" s="4" t="s">
        <v>31</v>
      </c>
      <c r="Q162" s="4" t="s">
        <v>31</v>
      </c>
      <c r="R162" s="4" t="s">
        <v>31</v>
      </c>
      <c r="S162" s="4" t="s">
        <v>31</v>
      </c>
      <c r="T162" s="4" t="s">
        <v>31</v>
      </c>
      <c r="U162" s="4" t="s">
        <v>31</v>
      </c>
      <c r="V162" s="4" t="s">
        <v>31</v>
      </c>
      <c r="W162" s="4" t="s">
        <v>31</v>
      </c>
      <c r="X162" s="4" t="s">
        <v>31</v>
      </c>
    </row>
    <row r="163" spans="1:24" s="4" customFormat="1" x14ac:dyDescent="0.2">
      <c r="A163" t="s">
        <v>390</v>
      </c>
      <c r="B163" t="s">
        <v>391</v>
      </c>
      <c r="C163" t="s">
        <v>337</v>
      </c>
      <c r="D163" t="s">
        <v>27</v>
      </c>
      <c r="E163" s="22" t="s">
        <v>28</v>
      </c>
      <c r="F163" s="4" t="s">
        <v>385</v>
      </c>
      <c r="G163" s="5">
        <f>COUNTIFS(TableFA21324[Project],TableFA21324[[#This Row],[Project]],TableFA21324[Program],TableFA21324[[#This Row],[Program]])</f>
        <v>4</v>
      </c>
      <c r="H163" s="5">
        <f>COUNTIFS(TableFA21324[Project],TableFA21324[[#This Row],[Project]])</f>
        <v>4</v>
      </c>
      <c r="K163" s="4" t="s">
        <v>31</v>
      </c>
      <c r="L163" s="4" t="s">
        <v>31</v>
      </c>
      <c r="M163" s="4" t="s">
        <v>31</v>
      </c>
      <c r="N163" s="4" t="s">
        <v>31</v>
      </c>
      <c r="O163" s="4" t="s">
        <v>31</v>
      </c>
      <c r="P163" s="4" t="s">
        <v>31</v>
      </c>
      <c r="Q163" s="4" t="s">
        <v>31</v>
      </c>
      <c r="R163" s="4" t="s">
        <v>31</v>
      </c>
      <c r="S163" s="4" t="s">
        <v>31</v>
      </c>
      <c r="T163" s="4" t="s">
        <v>31</v>
      </c>
      <c r="U163" s="4" t="s">
        <v>31</v>
      </c>
      <c r="V163" s="4" t="s">
        <v>31</v>
      </c>
      <c r="W163" s="4" t="s">
        <v>31</v>
      </c>
      <c r="X163" s="4" t="s">
        <v>31</v>
      </c>
    </row>
    <row r="164" spans="1:24" s="4" customFormat="1" x14ac:dyDescent="0.2">
      <c r="A164" s="20" t="s">
        <v>392</v>
      </c>
      <c r="B164" s="20" t="s">
        <v>393</v>
      </c>
      <c r="C164" s="20" t="s">
        <v>337</v>
      </c>
      <c r="D164" s="20" t="s">
        <v>27</v>
      </c>
      <c r="E164" s="22" t="s">
        <v>28</v>
      </c>
      <c r="F164" s="5" t="s">
        <v>394</v>
      </c>
      <c r="G164" s="5">
        <f>COUNTIFS(TableFA21324[Project],TableFA21324[[#This Row],[Project]],TableFA21324[Program],TableFA21324[[#This Row],[Program]])</f>
        <v>5</v>
      </c>
      <c r="H164" s="5">
        <f>COUNTIFS(TableFA21324[Project],TableFA21324[[#This Row],[Project]])</f>
        <v>5</v>
      </c>
      <c r="I164" s="5" t="s">
        <v>30</v>
      </c>
      <c r="J164" s="5"/>
      <c r="K164" s="5" t="s">
        <v>31</v>
      </c>
      <c r="L164" s="5" t="s">
        <v>31</v>
      </c>
      <c r="M164" s="5" t="s">
        <v>31</v>
      </c>
      <c r="N164" s="5" t="s">
        <v>31</v>
      </c>
      <c r="O164" s="5" t="s">
        <v>31</v>
      </c>
      <c r="P164" s="5" t="s">
        <v>31</v>
      </c>
      <c r="Q164" s="5" t="s">
        <v>31</v>
      </c>
      <c r="R164" s="5" t="s">
        <v>31</v>
      </c>
      <c r="S164" s="5" t="s">
        <v>31</v>
      </c>
      <c r="T164" s="5" t="s">
        <v>31</v>
      </c>
      <c r="U164" s="5" t="s">
        <v>31</v>
      </c>
      <c r="V164" s="5" t="s">
        <v>31</v>
      </c>
      <c r="W164" s="5" t="s">
        <v>31</v>
      </c>
      <c r="X164" s="5" t="s">
        <v>31</v>
      </c>
    </row>
    <row r="165" spans="1:24" s="4" customFormat="1" x14ac:dyDescent="0.2">
      <c r="A165" t="s">
        <v>395</v>
      </c>
      <c r="B165" s="4" t="s">
        <v>396</v>
      </c>
      <c r="C165" s="4" t="s">
        <v>337</v>
      </c>
      <c r="D165" t="s">
        <v>27</v>
      </c>
      <c r="E165" s="22" t="s">
        <v>28</v>
      </c>
      <c r="F165" s="4" t="s">
        <v>394</v>
      </c>
      <c r="G165" s="5">
        <f>COUNTIFS(TableFA21324[Project],TableFA21324[[#This Row],[Project]],TableFA21324[Program],TableFA21324[[#This Row],[Program]])</f>
        <v>5</v>
      </c>
      <c r="H165" s="5">
        <f>COUNTIFS(TableFA21324[Project],TableFA21324[[#This Row],[Project]])</f>
        <v>5</v>
      </c>
      <c r="K165" s="4" t="s">
        <v>31</v>
      </c>
      <c r="L165" s="4" t="s">
        <v>31</v>
      </c>
      <c r="M165" s="4" t="s">
        <v>31</v>
      </c>
      <c r="N165" s="4" t="s">
        <v>31</v>
      </c>
      <c r="O165" s="4" t="s">
        <v>31</v>
      </c>
      <c r="P165" s="4" t="s">
        <v>31</v>
      </c>
      <c r="Q165" s="4" t="s">
        <v>31</v>
      </c>
      <c r="R165" s="4" t="s">
        <v>31</v>
      </c>
      <c r="S165" s="4" t="s">
        <v>31</v>
      </c>
      <c r="T165" s="4" t="s">
        <v>31</v>
      </c>
      <c r="U165" s="4" t="s">
        <v>31</v>
      </c>
      <c r="V165" s="4" t="s">
        <v>31</v>
      </c>
      <c r="W165" s="4" t="s">
        <v>31</v>
      </c>
      <c r="X165" s="4" t="s">
        <v>31</v>
      </c>
    </row>
    <row r="166" spans="1:24" s="4" customFormat="1" x14ac:dyDescent="0.2">
      <c r="A166" t="s">
        <v>397</v>
      </c>
      <c r="B166" t="s">
        <v>398</v>
      </c>
      <c r="C166" t="s">
        <v>337</v>
      </c>
      <c r="D166" t="s">
        <v>27</v>
      </c>
      <c r="E166" s="22" t="s">
        <v>28</v>
      </c>
      <c r="F166" s="4" t="s">
        <v>394</v>
      </c>
      <c r="G166" s="5">
        <f>COUNTIFS(TableFA21324[Project],TableFA21324[[#This Row],[Project]],TableFA21324[Program],TableFA21324[[#This Row],[Program]])</f>
        <v>5</v>
      </c>
      <c r="H166" s="5">
        <f>COUNTIFS(TableFA21324[Project],TableFA21324[[#This Row],[Project]])</f>
        <v>5</v>
      </c>
      <c r="K166" s="4" t="s">
        <v>31</v>
      </c>
      <c r="L166" s="4" t="s">
        <v>31</v>
      </c>
      <c r="M166" s="4" t="s">
        <v>31</v>
      </c>
      <c r="N166" s="4" t="s">
        <v>31</v>
      </c>
      <c r="O166" s="4" t="s">
        <v>31</v>
      </c>
      <c r="P166" s="4" t="s">
        <v>31</v>
      </c>
      <c r="Q166" s="4" t="s">
        <v>31</v>
      </c>
      <c r="R166" s="4" t="s">
        <v>31</v>
      </c>
      <c r="S166" s="4" t="s">
        <v>31</v>
      </c>
      <c r="T166" s="4" t="s">
        <v>31</v>
      </c>
      <c r="U166" s="4" t="s">
        <v>31</v>
      </c>
      <c r="V166" s="4" t="s">
        <v>31</v>
      </c>
      <c r="W166" s="4" t="s">
        <v>31</v>
      </c>
      <c r="X166" s="4" t="s">
        <v>31</v>
      </c>
    </row>
    <row r="167" spans="1:24" s="4" customFormat="1" x14ac:dyDescent="0.2">
      <c r="A167" t="s">
        <v>399</v>
      </c>
      <c r="B167" t="s">
        <v>400</v>
      </c>
      <c r="C167" t="s">
        <v>337</v>
      </c>
      <c r="D167" t="s">
        <v>27</v>
      </c>
      <c r="E167" s="22" t="s">
        <v>28</v>
      </c>
      <c r="F167" s="4" t="s">
        <v>394</v>
      </c>
      <c r="G167" s="5">
        <f>COUNTIFS(TableFA21324[Project],TableFA21324[[#This Row],[Project]],TableFA21324[Program],TableFA21324[[#This Row],[Program]])</f>
        <v>5</v>
      </c>
      <c r="H167" s="5">
        <f>COUNTIFS(TableFA21324[Project],TableFA21324[[#This Row],[Project]])</f>
        <v>5</v>
      </c>
      <c r="K167" s="4" t="s">
        <v>31</v>
      </c>
      <c r="L167" s="4" t="s">
        <v>31</v>
      </c>
      <c r="M167" s="4" t="s">
        <v>31</v>
      </c>
      <c r="N167" s="4" t="s">
        <v>31</v>
      </c>
      <c r="O167" s="4" t="s">
        <v>31</v>
      </c>
      <c r="P167" s="4" t="s">
        <v>31</v>
      </c>
      <c r="Q167" s="4" t="s">
        <v>31</v>
      </c>
      <c r="R167" s="4" t="s">
        <v>31</v>
      </c>
      <c r="S167" s="4" t="s">
        <v>31</v>
      </c>
      <c r="T167" s="4" t="s">
        <v>31</v>
      </c>
      <c r="U167" s="4" t="s">
        <v>31</v>
      </c>
      <c r="V167" s="4" t="s">
        <v>31</v>
      </c>
      <c r="W167" s="4" t="s">
        <v>31</v>
      </c>
      <c r="X167" s="4" t="s">
        <v>31</v>
      </c>
    </row>
    <row r="168" spans="1:24" s="4" customFormat="1" x14ac:dyDescent="0.2">
      <c r="A168" t="s">
        <v>401</v>
      </c>
      <c r="B168" s="4" t="s">
        <v>402</v>
      </c>
      <c r="C168" s="4" t="s">
        <v>337</v>
      </c>
      <c r="D168" s="3" t="s">
        <v>54</v>
      </c>
      <c r="E168" s="22" t="s">
        <v>28</v>
      </c>
      <c r="F168" s="4" t="s">
        <v>394</v>
      </c>
      <c r="G168" s="5">
        <f>COUNTIFS(TableFA21324[Project],TableFA21324[[#This Row],[Project]],TableFA21324[Program],TableFA21324[[#This Row],[Program]])</f>
        <v>5</v>
      </c>
      <c r="H168" s="5">
        <f>COUNTIFS(TableFA21324[Project],TableFA21324[[#This Row],[Project]])</f>
        <v>5</v>
      </c>
      <c r="K168" s="4" t="s">
        <v>31</v>
      </c>
      <c r="L168" s="4" t="s">
        <v>31</v>
      </c>
      <c r="M168" s="4" t="s">
        <v>31</v>
      </c>
      <c r="N168" s="4" t="s">
        <v>31</v>
      </c>
      <c r="O168" s="4" t="s">
        <v>31</v>
      </c>
      <c r="P168" s="4" t="s">
        <v>31</v>
      </c>
      <c r="Q168" s="4" t="s">
        <v>31</v>
      </c>
      <c r="R168" s="4" t="s">
        <v>31</v>
      </c>
      <c r="S168" s="4" t="s">
        <v>31</v>
      </c>
      <c r="T168" s="4" t="s">
        <v>31</v>
      </c>
      <c r="U168" s="4" t="s">
        <v>31</v>
      </c>
      <c r="V168" s="4" t="s">
        <v>31</v>
      </c>
      <c r="W168" s="4" t="s">
        <v>31</v>
      </c>
      <c r="X168" s="4" t="s">
        <v>31</v>
      </c>
    </row>
    <row r="169" spans="1:24" s="4" customFormat="1" ht="13.5" customHeight="1" x14ac:dyDescent="0.2">
      <c r="A169" t="s">
        <v>403</v>
      </c>
      <c r="B169" t="s">
        <v>404</v>
      </c>
      <c r="C169" t="s">
        <v>337</v>
      </c>
      <c r="D169" t="s">
        <v>27</v>
      </c>
      <c r="E169" s="22" t="s">
        <v>28</v>
      </c>
      <c r="F169" s="4" t="s">
        <v>405</v>
      </c>
      <c r="G169" s="5">
        <f>COUNTIFS(TableFA21324[Project],TableFA21324[[#This Row],[Project]],TableFA21324[Program],TableFA21324[[#This Row],[Program]])</f>
        <v>5</v>
      </c>
      <c r="H169" s="5">
        <f>COUNTIFS(TableFA21324[Project],TableFA21324[[#This Row],[Project]])</f>
        <v>5</v>
      </c>
      <c r="I169" s="8" t="s">
        <v>30</v>
      </c>
      <c r="K169" s="5" t="s">
        <v>31</v>
      </c>
      <c r="L169" s="5" t="s">
        <v>31</v>
      </c>
      <c r="M169" s="5" t="s">
        <v>31</v>
      </c>
      <c r="N169" s="5" t="s">
        <v>31</v>
      </c>
      <c r="O169" s="5" t="s">
        <v>31</v>
      </c>
      <c r="P169" s="5" t="s">
        <v>31</v>
      </c>
      <c r="Q169" s="5" t="s">
        <v>31</v>
      </c>
      <c r="R169" s="5" t="s">
        <v>31</v>
      </c>
      <c r="S169" s="5" t="s">
        <v>31</v>
      </c>
      <c r="T169" s="5" t="s">
        <v>31</v>
      </c>
      <c r="U169" s="5" t="s">
        <v>31</v>
      </c>
      <c r="V169" s="32" t="s">
        <v>31</v>
      </c>
      <c r="W169" s="5" t="s">
        <v>31</v>
      </c>
      <c r="X169" s="33" t="s">
        <v>31</v>
      </c>
    </row>
    <row r="170" spans="1:24" s="4" customFormat="1" x14ac:dyDescent="0.2">
      <c r="A170" t="s">
        <v>406</v>
      </c>
      <c r="B170" t="s">
        <v>407</v>
      </c>
      <c r="C170" t="s">
        <v>337</v>
      </c>
      <c r="D170" t="s">
        <v>27</v>
      </c>
      <c r="E170" s="22" t="s">
        <v>28</v>
      </c>
      <c r="F170" s="6" t="s">
        <v>405</v>
      </c>
      <c r="G170" s="5">
        <f>COUNTIFS(TableFA21324[Project],TableFA21324[[#This Row],[Project]],TableFA21324[Program],TableFA21324[[#This Row],[Program]])</f>
        <v>5</v>
      </c>
      <c r="H170" s="5">
        <f>COUNTIFS(TableFA21324[Project],TableFA21324[[#This Row],[Project]])</f>
        <v>5</v>
      </c>
      <c r="K170" s="4" t="s">
        <v>31</v>
      </c>
      <c r="L170" s="4" t="s">
        <v>31</v>
      </c>
      <c r="M170" s="27" t="s">
        <v>31</v>
      </c>
      <c r="N170" s="4" t="s">
        <v>31</v>
      </c>
      <c r="O170" s="4" t="s">
        <v>31</v>
      </c>
      <c r="P170" s="4" t="s">
        <v>31</v>
      </c>
      <c r="Q170" s="4" t="s">
        <v>31</v>
      </c>
      <c r="R170" s="4" t="s">
        <v>31</v>
      </c>
      <c r="S170" s="4" t="s">
        <v>31</v>
      </c>
      <c r="T170" s="4" t="s">
        <v>31</v>
      </c>
      <c r="U170" s="4" t="s">
        <v>31</v>
      </c>
      <c r="V170" s="4" t="s">
        <v>31</v>
      </c>
      <c r="W170" s="4" t="s">
        <v>31</v>
      </c>
      <c r="X170" s="4" t="s">
        <v>31</v>
      </c>
    </row>
    <row r="171" spans="1:24" s="4" customFormat="1" x14ac:dyDescent="0.2">
      <c r="A171" t="s">
        <v>408</v>
      </c>
      <c r="B171" t="s">
        <v>409</v>
      </c>
      <c r="C171" t="s">
        <v>337</v>
      </c>
      <c r="D171" t="s">
        <v>27</v>
      </c>
      <c r="E171" s="22" t="s">
        <v>28</v>
      </c>
      <c r="F171" s="28" t="s">
        <v>405</v>
      </c>
      <c r="G171" s="5">
        <f>COUNTIFS(TableFA21324[Project],TableFA21324[[#This Row],[Project]],TableFA21324[Program],TableFA21324[[#This Row],[Program]])</f>
        <v>5</v>
      </c>
      <c r="H171" s="5">
        <f>COUNTIFS(TableFA21324[Project],TableFA21324[[#This Row],[Project]])</f>
        <v>5</v>
      </c>
      <c r="K171" s="4" t="s">
        <v>31</v>
      </c>
      <c r="L171" s="4" t="s">
        <v>31</v>
      </c>
      <c r="M171" s="4" t="s">
        <v>31</v>
      </c>
      <c r="N171" s="4" t="s">
        <v>31</v>
      </c>
      <c r="O171" s="4" t="s">
        <v>31</v>
      </c>
      <c r="P171" s="4" t="s">
        <v>31</v>
      </c>
      <c r="Q171" s="4" t="s">
        <v>31</v>
      </c>
      <c r="R171" s="4" t="s">
        <v>31</v>
      </c>
      <c r="S171" s="4" t="s">
        <v>31</v>
      </c>
      <c r="T171" s="4" t="s">
        <v>31</v>
      </c>
      <c r="U171" s="4" t="s">
        <v>31</v>
      </c>
      <c r="V171" s="4" t="s">
        <v>31</v>
      </c>
      <c r="W171" s="4" t="s">
        <v>31</v>
      </c>
      <c r="X171" s="4" t="s">
        <v>31</v>
      </c>
    </row>
    <row r="172" spans="1:24" s="4" customFormat="1" x14ac:dyDescent="0.2">
      <c r="A172" t="s">
        <v>410</v>
      </c>
      <c r="B172" t="s">
        <v>411</v>
      </c>
      <c r="C172" t="s">
        <v>337</v>
      </c>
      <c r="D172" t="s">
        <v>27</v>
      </c>
      <c r="E172" s="22" t="s">
        <v>28</v>
      </c>
      <c r="F172" s="4" t="s">
        <v>405</v>
      </c>
      <c r="G172" s="5">
        <f>COUNTIFS(TableFA21324[Project],TableFA21324[[#This Row],[Project]],TableFA21324[Program],TableFA21324[[#This Row],[Program]])</f>
        <v>5</v>
      </c>
      <c r="H172" s="5">
        <f>COUNTIFS(TableFA21324[Project],TableFA21324[[#This Row],[Project]])</f>
        <v>5</v>
      </c>
      <c r="K172" s="4" t="s">
        <v>31</v>
      </c>
      <c r="L172" s="4" t="s">
        <v>31</v>
      </c>
      <c r="M172" s="4" t="s">
        <v>31</v>
      </c>
      <c r="N172" s="4" t="s">
        <v>31</v>
      </c>
      <c r="O172" s="4" t="s">
        <v>31</v>
      </c>
      <c r="P172" s="4" t="s">
        <v>31</v>
      </c>
      <c r="Q172" s="4" t="s">
        <v>31</v>
      </c>
      <c r="R172" s="4" t="s">
        <v>31</v>
      </c>
      <c r="S172" s="4" t="s">
        <v>31</v>
      </c>
      <c r="T172" s="4" t="s">
        <v>31</v>
      </c>
      <c r="U172" s="4" t="s">
        <v>31</v>
      </c>
      <c r="V172" s="4" t="s">
        <v>31</v>
      </c>
      <c r="W172" s="4" t="s">
        <v>31</v>
      </c>
      <c r="X172" s="4" t="s">
        <v>31</v>
      </c>
    </row>
    <row r="173" spans="1:24" s="4" customFormat="1" x14ac:dyDescent="0.2">
      <c r="A173" t="s">
        <v>412</v>
      </c>
      <c r="B173" t="s">
        <v>413</v>
      </c>
      <c r="C173" t="s">
        <v>337</v>
      </c>
      <c r="D173" t="s">
        <v>27</v>
      </c>
      <c r="E173" s="22" t="s">
        <v>28</v>
      </c>
      <c r="F173" s="4" t="s">
        <v>405</v>
      </c>
      <c r="G173" s="5">
        <f>COUNTIFS(TableFA21324[Project],TableFA21324[[#This Row],[Project]],TableFA21324[Program],TableFA21324[[#This Row],[Program]])</f>
        <v>5</v>
      </c>
      <c r="H173" s="5">
        <f>COUNTIFS(TableFA21324[Project],TableFA21324[[#This Row],[Project]])</f>
        <v>5</v>
      </c>
      <c r="K173" s="4" t="s">
        <v>31</v>
      </c>
      <c r="L173" s="4" t="s">
        <v>31</v>
      </c>
      <c r="M173" s="4" t="s">
        <v>31</v>
      </c>
      <c r="N173" s="4" t="s">
        <v>31</v>
      </c>
      <c r="O173" s="4" t="s">
        <v>31</v>
      </c>
      <c r="P173" s="4" t="s">
        <v>31</v>
      </c>
      <c r="Q173" s="4" t="s">
        <v>31</v>
      </c>
      <c r="R173" s="4" t="s">
        <v>31</v>
      </c>
      <c r="S173" s="4" t="s">
        <v>31</v>
      </c>
      <c r="T173" s="4" t="s">
        <v>31</v>
      </c>
      <c r="U173" s="4" t="s">
        <v>31</v>
      </c>
      <c r="V173" s="4" t="s">
        <v>31</v>
      </c>
      <c r="W173" s="4" t="s">
        <v>31</v>
      </c>
      <c r="X173" s="4" t="s">
        <v>31</v>
      </c>
    </row>
    <row r="174" spans="1:24" s="4" customFormat="1" x14ac:dyDescent="0.2">
      <c r="A174" t="s">
        <v>414</v>
      </c>
      <c r="B174" s="20" t="s">
        <v>415</v>
      </c>
      <c r="C174" s="20" t="s">
        <v>337</v>
      </c>
      <c r="D174" s="20" t="s">
        <v>27</v>
      </c>
      <c r="E174" s="22" t="s">
        <v>28</v>
      </c>
      <c r="F174" s="5" t="s">
        <v>416</v>
      </c>
      <c r="G174" s="5">
        <f>COUNTIFS(TableFA21324[Project],TableFA21324[[#This Row],[Project]],TableFA21324[Program],TableFA21324[[#This Row],[Program]])</f>
        <v>5</v>
      </c>
      <c r="H174" s="5">
        <f>COUNTIFS(TableFA21324[Project],TableFA21324[[#This Row],[Project]])</f>
        <v>5</v>
      </c>
      <c r="I174" s="5" t="s">
        <v>30</v>
      </c>
      <c r="J174" s="5"/>
      <c r="K174" s="5" t="s">
        <v>31</v>
      </c>
      <c r="L174" s="5" t="s">
        <v>31</v>
      </c>
      <c r="M174" s="5" t="s">
        <v>31</v>
      </c>
      <c r="N174" s="5" t="s">
        <v>31</v>
      </c>
      <c r="O174" s="5" t="s">
        <v>31</v>
      </c>
      <c r="P174" s="5" t="s">
        <v>31</v>
      </c>
      <c r="Q174" s="5" t="s">
        <v>31</v>
      </c>
      <c r="R174" s="5" t="s">
        <v>31</v>
      </c>
      <c r="S174" s="5" t="s">
        <v>31</v>
      </c>
      <c r="T174" s="5" t="s">
        <v>31</v>
      </c>
      <c r="U174" s="5" t="s">
        <v>31</v>
      </c>
      <c r="V174" s="32" t="s">
        <v>31</v>
      </c>
      <c r="W174" s="5" t="s">
        <v>31</v>
      </c>
      <c r="X174" s="33" t="s">
        <v>31</v>
      </c>
    </row>
    <row r="175" spans="1:24" s="4" customFormat="1" x14ac:dyDescent="0.2">
      <c r="A175" t="s">
        <v>417</v>
      </c>
      <c r="B175" t="s">
        <v>418</v>
      </c>
      <c r="C175" t="s">
        <v>337</v>
      </c>
      <c r="D175" t="s">
        <v>27</v>
      </c>
      <c r="E175" s="22" t="s">
        <v>28</v>
      </c>
      <c r="F175" s="4" t="s">
        <v>416</v>
      </c>
      <c r="G175" s="5">
        <f>COUNTIFS(TableFA21324[Project],TableFA21324[[#This Row],[Project]],TableFA21324[Program],TableFA21324[[#This Row],[Program]])</f>
        <v>5</v>
      </c>
      <c r="H175" s="5">
        <f>COUNTIFS(TableFA21324[Project],TableFA21324[[#This Row],[Project]])</f>
        <v>5</v>
      </c>
      <c r="K175" s="4" t="s">
        <v>31</v>
      </c>
      <c r="L175" s="4" t="s">
        <v>31</v>
      </c>
      <c r="M175" s="4" t="s">
        <v>31</v>
      </c>
      <c r="N175" s="4" t="s">
        <v>31</v>
      </c>
      <c r="O175" s="4" t="s">
        <v>31</v>
      </c>
      <c r="P175" s="4" t="s">
        <v>31</v>
      </c>
      <c r="Q175" s="4" t="s">
        <v>31</v>
      </c>
      <c r="R175" s="4" t="s">
        <v>31</v>
      </c>
      <c r="S175" s="4" t="s">
        <v>31</v>
      </c>
      <c r="T175" s="4" t="s">
        <v>31</v>
      </c>
      <c r="U175" s="4" t="s">
        <v>31</v>
      </c>
      <c r="V175" s="4" t="s">
        <v>31</v>
      </c>
      <c r="W175" s="4" t="s">
        <v>31</v>
      </c>
      <c r="X175" s="4" t="s">
        <v>31</v>
      </c>
    </row>
    <row r="176" spans="1:24" s="4" customFormat="1" x14ac:dyDescent="0.2">
      <c r="A176" t="s">
        <v>419</v>
      </c>
      <c r="B176" t="s">
        <v>420</v>
      </c>
      <c r="C176" t="s">
        <v>337</v>
      </c>
      <c r="D176" t="s">
        <v>27</v>
      </c>
      <c r="E176" s="22" t="s">
        <v>28</v>
      </c>
      <c r="F176" s="4" t="s">
        <v>416</v>
      </c>
      <c r="G176" s="5">
        <f>COUNTIFS(TableFA21324[Project],TableFA21324[[#This Row],[Project]],TableFA21324[Program],TableFA21324[[#This Row],[Program]])</f>
        <v>5</v>
      </c>
      <c r="H176" s="5">
        <f>COUNTIFS(TableFA21324[Project],TableFA21324[[#This Row],[Project]])</f>
        <v>5</v>
      </c>
      <c r="K176" s="4" t="s">
        <v>31</v>
      </c>
      <c r="L176" s="4" t="s">
        <v>31</v>
      </c>
      <c r="M176" s="4" t="s">
        <v>31</v>
      </c>
      <c r="N176" s="4" t="s">
        <v>31</v>
      </c>
      <c r="O176" s="4" t="s">
        <v>31</v>
      </c>
      <c r="P176" s="4" t="s">
        <v>31</v>
      </c>
      <c r="Q176" s="4" t="s">
        <v>31</v>
      </c>
      <c r="R176" s="4" t="s">
        <v>31</v>
      </c>
      <c r="S176" s="4" t="s">
        <v>31</v>
      </c>
      <c r="T176" s="4" t="s">
        <v>31</v>
      </c>
      <c r="U176" s="4" t="s">
        <v>31</v>
      </c>
      <c r="V176" s="4" t="s">
        <v>31</v>
      </c>
      <c r="W176" s="4" t="s">
        <v>31</v>
      </c>
      <c r="X176" s="4" t="s">
        <v>31</v>
      </c>
    </row>
    <row r="177" spans="1:24" s="4" customFormat="1" x14ac:dyDescent="0.2">
      <c r="A177" t="s">
        <v>421</v>
      </c>
      <c r="B177" t="s">
        <v>422</v>
      </c>
      <c r="C177" t="s">
        <v>337</v>
      </c>
      <c r="D177" t="s">
        <v>27</v>
      </c>
      <c r="E177" s="22" t="s">
        <v>28</v>
      </c>
      <c r="F177" s="4" t="s">
        <v>416</v>
      </c>
      <c r="G177" s="5">
        <f>COUNTIFS(TableFA21324[Project],TableFA21324[[#This Row],[Project]],TableFA21324[Program],TableFA21324[[#This Row],[Program]])</f>
        <v>5</v>
      </c>
      <c r="H177" s="5">
        <f>COUNTIFS(TableFA21324[Project],TableFA21324[[#This Row],[Project]])</f>
        <v>5</v>
      </c>
      <c r="K177" s="4" t="s">
        <v>31</v>
      </c>
      <c r="L177" s="4" t="s">
        <v>31</v>
      </c>
      <c r="M177" s="4" t="s">
        <v>31</v>
      </c>
      <c r="N177" s="4" t="s">
        <v>31</v>
      </c>
      <c r="O177" s="4" t="s">
        <v>31</v>
      </c>
      <c r="P177" s="4" t="s">
        <v>31</v>
      </c>
      <c r="Q177" s="4" t="s">
        <v>31</v>
      </c>
      <c r="R177" s="4" t="s">
        <v>31</v>
      </c>
      <c r="S177" s="4" t="s">
        <v>31</v>
      </c>
      <c r="T177" s="4" t="s">
        <v>31</v>
      </c>
      <c r="U177" s="4" t="s">
        <v>31</v>
      </c>
      <c r="V177" s="4" t="s">
        <v>31</v>
      </c>
      <c r="W177" s="4" t="s">
        <v>31</v>
      </c>
      <c r="X177" s="4" t="s">
        <v>31</v>
      </c>
    </row>
    <row r="178" spans="1:24" s="4" customFormat="1" x14ac:dyDescent="0.2">
      <c r="A178" t="s">
        <v>423</v>
      </c>
      <c r="B178" t="s">
        <v>424</v>
      </c>
      <c r="C178" t="s">
        <v>337</v>
      </c>
      <c r="D178" t="s">
        <v>27</v>
      </c>
      <c r="E178" s="22" t="s">
        <v>28</v>
      </c>
      <c r="F178" s="4" t="s">
        <v>416</v>
      </c>
      <c r="G178" s="5">
        <f>COUNTIFS(TableFA21324[Project],TableFA21324[[#This Row],[Project]],TableFA21324[Program],TableFA21324[[#This Row],[Program]])</f>
        <v>5</v>
      </c>
      <c r="H178" s="5">
        <f>COUNTIFS(TableFA21324[Project],TableFA21324[[#This Row],[Project]])</f>
        <v>5</v>
      </c>
      <c r="K178" s="4" t="s">
        <v>31</v>
      </c>
      <c r="L178" s="4" t="s">
        <v>31</v>
      </c>
      <c r="M178" s="4" t="s">
        <v>31</v>
      </c>
      <c r="N178" s="4" t="s">
        <v>31</v>
      </c>
      <c r="O178" s="4" t="s">
        <v>31</v>
      </c>
      <c r="P178" s="4" t="s">
        <v>31</v>
      </c>
      <c r="Q178" s="4" t="s">
        <v>31</v>
      </c>
      <c r="R178" s="4" t="s">
        <v>31</v>
      </c>
      <c r="S178" s="4" t="s">
        <v>31</v>
      </c>
      <c r="T178" s="4" t="s">
        <v>31</v>
      </c>
      <c r="U178" s="4" t="s">
        <v>31</v>
      </c>
      <c r="V178" s="4" t="s">
        <v>31</v>
      </c>
      <c r="W178" s="4" t="s">
        <v>31</v>
      </c>
      <c r="X178" s="4" t="s">
        <v>31</v>
      </c>
    </row>
    <row r="179" spans="1:24" s="4" customFormat="1" x14ac:dyDescent="0.2">
      <c r="A179" s="20" t="s">
        <v>425</v>
      </c>
      <c r="B179" s="20" t="s">
        <v>426</v>
      </c>
      <c r="C179" s="20" t="s">
        <v>337</v>
      </c>
      <c r="D179" s="20" t="s">
        <v>27</v>
      </c>
      <c r="E179" s="22" t="s">
        <v>28</v>
      </c>
      <c r="F179" s="5" t="s">
        <v>427</v>
      </c>
      <c r="G179" s="5">
        <f>COUNTIFS(TableFA21324[Project],TableFA21324[[#This Row],[Project]],TableFA21324[Program],TableFA21324[[#This Row],[Program]])</f>
        <v>5</v>
      </c>
      <c r="H179" s="5">
        <f>COUNTIFS(TableFA21324[Project],TableFA21324[[#This Row],[Project]])</f>
        <v>5</v>
      </c>
      <c r="I179" s="5" t="s">
        <v>30</v>
      </c>
      <c r="J179" s="5"/>
      <c r="K179" s="5" t="s">
        <v>31</v>
      </c>
      <c r="L179" s="5" t="s">
        <v>31</v>
      </c>
      <c r="M179" s="5" t="s">
        <v>31</v>
      </c>
      <c r="N179" s="5" t="s">
        <v>31</v>
      </c>
      <c r="O179" s="5" t="s">
        <v>31</v>
      </c>
      <c r="P179" s="5" t="s">
        <v>31</v>
      </c>
      <c r="Q179" s="5" t="s">
        <v>31</v>
      </c>
      <c r="R179" s="5" t="s">
        <v>31</v>
      </c>
      <c r="S179" s="5" t="s">
        <v>31</v>
      </c>
      <c r="T179" s="5" t="s">
        <v>31</v>
      </c>
      <c r="U179" s="5" t="s">
        <v>31</v>
      </c>
      <c r="V179" s="5" t="s">
        <v>31</v>
      </c>
      <c r="W179" s="5" t="s">
        <v>31</v>
      </c>
      <c r="X179" s="5" t="s">
        <v>31</v>
      </c>
    </row>
    <row r="180" spans="1:24" s="4" customFormat="1" x14ac:dyDescent="0.2">
      <c r="A180" t="s">
        <v>428</v>
      </c>
      <c r="B180" t="s">
        <v>429</v>
      </c>
      <c r="C180" t="s">
        <v>337</v>
      </c>
      <c r="D180" t="s">
        <v>27</v>
      </c>
      <c r="E180" s="22" t="s">
        <v>28</v>
      </c>
      <c r="F180" s="4" t="s">
        <v>427</v>
      </c>
      <c r="G180" s="5">
        <f>COUNTIFS(TableFA21324[Project],TableFA21324[[#This Row],[Project]],TableFA21324[Program],TableFA21324[[#This Row],[Program]])</f>
        <v>5</v>
      </c>
      <c r="H180" s="5">
        <f>COUNTIFS(TableFA21324[Project],TableFA21324[[#This Row],[Project]])</f>
        <v>5</v>
      </c>
      <c r="K180" s="4" t="s">
        <v>31</v>
      </c>
      <c r="L180" s="4" t="s">
        <v>31</v>
      </c>
      <c r="M180" s="4" t="s">
        <v>31</v>
      </c>
      <c r="N180" s="4" t="s">
        <v>31</v>
      </c>
      <c r="O180" s="4" t="s">
        <v>31</v>
      </c>
      <c r="P180" s="4" t="s">
        <v>31</v>
      </c>
      <c r="Q180" s="4" t="s">
        <v>31</v>
      </c>
      <c r="R180" s="4" t="s">
        <v>31</v>
      </c>
      <c r="S180" s="4" t="s">
        <v>31</v>
      </c>
      <c r="T180" s="4" t="s">
        <v>31</v>
      </c>
      <c r="U180" s="4" t="s">
        <v>31</v>
      </c>
      <c r="V180" s="4" t="s">
        <v>31</v>
      </c>
      <c r="W180" s="4" t="s">
        <v>31</v>
      </c>
      <c r="X180" s="4" t="s">
        <v>31</v>
      </c>
    </row>
    <row r="181" spans="1:24" s="4" customFormat="1" x14ac:dyDescent="0.2">
      <c r="A181" t="s">
        <v>430</v>
      </c>
      <c r="B181" t="s">
        <v>431</v>
      </c>
      <c r="C181" t="s">
        <v>337</v>
      </c>
      <c r="D181" t="s">
        <v>27</v>
      </c>
      <c r="E181" s="22" t="s">
        <v>28</v>
      </c>
      <c r="F181" s="4" t="s">
        <v>427</v>
      </c>
      <c r="G181" s="5">
        <f>COUNTIFS(TableFA21324[Project],TableFA21324[[#This Row],[Project]],TableFA21324[Program],TableFA21324[[#This Row],[Program]])</f>
        <v>5</v>
      </c>
      <c r="H181" s="5">
        <f>COUNTIFS(TableFA21324[Project],TableFA21324[[#This Row],[Project]])</f>
        <v>5</v>
      </c>
      <c r="K181" s="4" t="s">
        <v>31</v>
      </c>
      <c r="L181" s="4" t="s">
        <v>31</v>
      </c>
      <c r="M181" s="4" t="s">
        <v>31</v>
      </c>
      <c r="N181" s="4" t="s">
        <v>31</v>
      </c>
      <c r="O181" s="4" t="s">
        <v>31</v>
      </c>
      <c r="P181" s="4" t="s">
        <v>31</v>
      </c>
      <c r="Q181" s="4" t="s">
        <v>31</v>
      </c>
      <c r="R181" s="4" t="s">
        <v>31</v>
      </c>
      <c r="S181" s="4" t="s">
        <v>31</v>
      </c>
      <c r="T181" s="4" t="s">
        <v>31</v>
      </c>
      <c r="U181" s="4" t="s">
        <v>31</v>
      </c>
      <c r="V181" s="4" t="s">
        <v>31</v>
      </c>
      <c r="W181" s="4" t="s">
        <v>31</v>
      </c>
      <c r="X181" s="4" t="s">
        <v>31</v>
      </c>
    </row>
    <row r="182" spans="1:24" s="4" customFormat="1" x14ac:dyDescent="0.2">
      <c r="A182" t="s">
        <v>432</v>
      </c>
      <c r="B182" t="s">
        <v>433</v>
      </c>
      <c r="C182" t="s">
        <v>337</v>
      </c>
      <c r="D182" t="s">
        <v>27</v>
      </c>
      <c r="E182" s="22" t="s">
        <v>28</v>
      </c>
      <c r="F182" s="4" t="s">
        <v>427</v>
      </c>
      <c r="G182" s="5">
        <f>COUNTIFS(TableFA21324[Project],TableFA21324[[#This Row],[Project]],TableFA21324[Program],TableFA21324[[#This Row],[Program]])</f>
        <v>5</v>
      </c>
      <c r="H182" s="5">
        <f>COUNTIFS(TableFA21324[Project],TableFA21324[[#This Row],[Project]])</f>
        <v>5</v>
      </c>
      <c r="K182" s="4" t="s">
        <v>31</v>
      </c>
      <c r="L182" s="4" t="s">
        <v>31</v>
      </c>
      <c r="M182" s="4" t="s">
        <v>31</v>
      </c>
      <c r="N182" s="4" t="s">
        <v>31</v>
      </c>
      <c r="O182" s="4" t="s">
        <v>31</v>
      </c>
      <c r="P182" s="4" t="s">
        <v>31</v>
      </c>
      <c r="Q182" s="4" t="s">
        <v>31</v>
      </c>
      <c r="R182" s="4" t="s">
        <v>31</v>
      </c>
      <c r="S182" s="4" t="s">
        <v>31</v>
      </c>
      <c r="T182" s="4" t="s">
        <v>31</v>
      </c>
      <c r="U182" s="4" t="s">
        <v>31</v>
      </c>
      <c r="V182" s="4" t="s">
        <v>31</v>
      </c>
      <c r="W182" s="4" t="s">
        <v>31</v>
      </c>
      <c r="X182" s="4" t="s">
        <v>31</v>
      </c>
    </row>
    <row r="183" spans="1:24" s="4" customFormat="1" x14ac:dyDescent="0.2">
      <c r="A183" t="s">
        <v>434</v>
      </c>
      <c r="B183" t="s">
        <v>435</v>
      </c>
      <c r="C183" t="s">
        <v>337</v>
      </c>
      <c r="D183" t="s">
        <v>27</v>
      </c>
      <c r="E183" s="22" t="s">
        <v>28</v>
      </c>
      <c r="F183" s="4" t="s">
        <v>427</v>
      </c>
      <c r="G183" s="5">
        <f>COUNTIFS(TableFA21324[Project],TableFA21324[[#This Row],[Project]],TableFA21324[Program],TableFA21324[[#This Row],[Program]])</f>
        <v>5</v>
      </c>
      <c r="H183" s="5">
        <f>COUNTIFS(TableFA21324[Project],TableFA21324[[#This Row],[Project]])</f>
        <v>5</v>
      </c>
      <c r="K183" s="4" t="s">
        <v>31</v>
      </c>
      <c r="L183" s="4" t="s">
        <v>31</v>
      </c>
      <c r="M183" s="4" t="s">
        <v>31</v>
      </c>
      <c r="N183" s="4" t="s">
        <v>31</v>
      </c>
      <c r="O183" s="4" t="s">
        <v>31</v>
      </c>
      <c r="P183" s="4" t="s">
        <v>31</v>
      </c>
      <c r="Q183" s="4" t="s">
        <v>31</v>
      </c>
      <c r="R183" s="4" t="s">
        <v>31</v>
      </c>
      <c r="S183" s="4" t="s">
        <v>31</v>
      </c>
      <c r="T183" s="4" t="s">
        <v>31</v>
      </c>
      <c r="U183" s="4" t="s">
        <v>31</v>
      </c>
      <c r="V183" s="4" t="s">
        <v>31</v>
      </c>
      <c r="W183" s="4" t="s">
        <v>31</v>
      </c>
      <c r="X183" s="4" t="s">
        <v>31</v>
      </c>
    </row>
    <row r="184" spans="1:24" s="4" customFormat="1" x14ac:dyDescent="0.2">
      <c r="A184" s="20" t="s">
        <v>436</v>
      </c>
      <c r="B184" s="20" t="s">
        <v>437</v>
      </c>
      <c r="C184" s="20" t="s">
        <v>337</v>
      </c>
      <c r="D184" s="20" t="s">
        <v>27</v>
      </c>
      <c r="E184" s="22" t="s">
        <v>28</v>
      </c>
      <c r="F184" s="5" t="s">
        <v>438</v>
      </c>
      <c r="G184" s="5">
        <f>COUNTIFS(TableFA21324[Project],TableFA21324[[#This Row],[Project]],TableFA21324[Program],TableFA21324[[#This Row],[Program]])</f>
        <v>5</v>
      </c>
      <c r="H184" s="5">
        <f>COUNTIFS(TableFA21324[Project],TableFA21324[[#This Row],[Project]])</f>
        <v>5</v>
      </c>
      <c r="I184" s="5" t="s">
        <v>30</v>
      </c>
      <c r="J184" s="5"/>
      <c r="K184" s="5" t="s">
        <v>31</v>
      </c>
      <c r="L184" s="5" t="s">
        <v>31</v>
      </c>
      <c r="M184" s="5" t="s">
        <v>31</v>
      </c>
      <c r="N184" s="5" t="s">
        <v>31</v>
      </c>
      <c r="O184" s="5" t="s">
        <v>31</v>
      </c>
      <c r="P184" s="5" t="s">
        <v>31</v>
      </c>
      <c r="Q184" s="5" t="s">
        <v>31</v>
      </c>
      <c r="R184" s="5" t="s">
        <v>31</v>
      </c>
      <c r="S184" s="5" t="s">
        <v>31</v>
      </c>
      <c r="T184" s="5" t="s">
        <v>31</v>
      </c>
      <c r="U184" s="5" t="s">
        <v>31</v>
      </c>
      <c r="V184" s="5" t="s">
        <v>31</v>
      </c>
      <c r="W184" s="5" t="s">
        <v>31</v>
      </c>
      <c r="X184" s="5" t="s">
        <v>31</v>
      </c>
    </row>
    <row r="185" spans="1:24" s="4" customFormat="1" x14ac:dyDescent="0.2">
      <c r="A185" t="s">
        <v>439</v>
      </c>
      <c r="B185" t="s">
        <v>440</v>
      </c>
      <c r="C185" t="s">
        <v>337</v>
      </c>
      <c r="D185" t="s">
        <v>27</v>
      </c>
      <c r="E185" s="22" t="s">
        <v>28</v>
      </c>
      <c r="F185" s="4" t="s">
        <v>438</v>
      </c>
      <c r="G185" s="5">
        <f>COUNTIFS(TableFA21324[Project],TableFA21324[[#This Row],[Project]],TableFA21324[Program],TableFA21324[[#This Row],[Program]])</f>
        <v>5</v>
      </c>
      <c r="H185" s="5">
        <f>COUNTIFS(TableFA21324[Project],TableFA21324[[#This Row],[Project]])</f>
        <v>5</v>
      </c>
      <c r="K185" s="4" t="s">
        <v>31</v>
      </c>
      <c r="L185" s="4" t="s">
        <v>31</v>
      </c>
      <c r="M185" s="4" t="s">
        <v>31</v>
      </c>
      <c r="N185" s="4" t="s">
        <v>31</v>
      </c>
      <c r="O185" s="4" t="s">
        <v>31</v>
      </c>
      <c r="P185" s="4" t="s">
        <v>31</v>
      </c>
      <c r="Q185" s="4" t="s">
        <v>31</v>
      </c>
      <c r="R185" s="4" t="s">
        <v>31</v>
      </c>
      <c r="S185" s="4" t="s">
        <v>31</v>
      </c>
      <c r="T185" s="4" t="s">
        <v>31</v>
      </c>
      <c r="U185" s="4" t="s">
        <v>31</v>
      </c>
      <c r="V185" s="4" t="s">
        <v>31</v>
      </c>
      <c r="W185" s="4" t="s">
        <v>31</v>
      </c>
      <c r="X185" s="4" t="s">
        <v>31</v>
      </c>
    </row>
    <row r="186" spans="1:24" s="4" customFormat="1" x14ac:dyDescent="0.2">
      <c r="A186" t="s">
        <v>441</v>
      </c>
      <c r="B186" t="s">
        <v>442</v>
      </c>
      <c r="C186" t="s">
        <v>337</v>
      </c>
      <c r="D186" t="s">
        <v>27</v>
      </c>
      <c r="E186" s="22" t="s">
        <v>28</v>
      </c>
      <c r="F186" s="4" t="s">
        <v>438</v>
      </c>
      <c r="G186" s="5">
        <f>COUNTIFS(TableFA21324[Project],TableFA21324[[#This Row],[Project]],TableFA21324[Program],TableFA21324[[#This Row],[Program]])</f>
        <v>5</v>
      </c>
      <c r="H186" s="5">
        <f>COUNTIFS(TableFA21324[Project],TableFA21324[[#This Row],[Project]])</f>
        <v>5</v>
      </c>
      <c r="K186" s="4" t="s">
        <v>31</v>
      </c>
      <c r="L186" s="4" t="s">
        <v>31</v>
      </c>
      <c r="M186" s="4" t="s">
        <v>31</v>
      </c>
      <c r="N186" s="4" t="s">
        <v>31</v>
      </c>
      <c r="O186" s="4" t="s">
        <v>31</v>
      </c>
      <c r="P186" s="4" t="s">
        <v>31</v>
      </c>
      <c r="Q186" s="4" t="s">
        <v>31</v>
      </c>
      <c r="R186" s="4" t="s">
        <v>31</v>
      </c>
      <c r="S186" s="4" t="s">
        <v>31</v>
      </c>
      <c r="T186" s="4" t="s">
        <v>31</v>
      </c>
      <c r="U186" s="4" t="s">
        <v>31</v>
      </c>
      <c r="V186" s="4" t="s">
        <v>31</v>
      </c>
      <c r="W186" s="4" t="s">
        <v>31</v>
      </c>
      <c r="X186" s="4" t="s">
        <v>31</v>
      </c>
    </row>
    <row r="187" spans="1:24" s="4" customFormat="1" x14ac:dyDescent="0.2">
      <c r="A187" t="s">
        <v>443</v>
      </c>
      <c r="B187" t="s">
        <v>444</v>
      </c>
      <c r="C187" t="s">
        <v>337</v>
      </c>
      <c r="D187" t="s">
        <v>27</v>
      </c>
      <c r="E187" s="22" t="s">
        <v>28</v>
      </c>
      <c r="F187" s="4" t="s">
        <v>438</v>
      </c>
      <c r="G187" s="5">
        <f>COUNTIFS(TableFA21324[Project],TableFA21324[[#This Row],[Project]],TableFA21324[Program],TableFA21324[[#This Row],[Program]])</f>
        <v>5</v>
      </c>
      <c r="H187" s="5">
        <f>COUNTIFS(TableFA21324[Project],TableFA21324[[#This Row],[Project]])</f>
        <v>5</v>
      </c>
      <c r="K187" s="4" t="s">
        <v>31</v>
      </c>
      <c r="L187" s="4" t="s">
        <v>31</v>
      </c>
      <c r="M187" s="4" t="s">
        <v>31</v>
      </c>
      <c r="N187" s="4" t="s">
        <v>31</v>
      </c>
      <c r="O187" s="4" t="s">
        <v>31</v>
      </c>
      <c r="P187" s="4" t="s">
        <v>31</v>
      </c>
      <c r="Q187" s="4" t="s">
        <v>31</v>
      </c>
      <c r="R187" s="4" t="s">
        <v>31</v>
      </c>
      <c r="S187" s="4" t="s">
        <v>31</v>
      </c>
      <c r="T187" s="4" t="s">
        <v>31</v>
      </c>
      <c r="U187" s="4" t="s">
        <v>31</v>
      </c>
      <c r="V187" s="4" t="s">
        <v>31</v>
      </c>
      <c r="W187" s="4" t="s">
        <v>31</v>
      </c>
      <c r="X187" s="4" t="s">
        <v>31</v>
      </c>
    </row>
    <row r="188" spans="1:24" s="4" customFormat="1" x14ac:dyDescent="0.2">
      <c r="A188" t="s">
        <v>445</v>
      </c>
      <c r="B188" t="s">
        <v>446</v>
      </c>
      <c r="C188" t="s">
        <v>337</v>
      </c>
      <c r="D188" t="s">
        <v>27</v>
      </c>
      <c r="E188" s="22" t="s">
        <v>28</v>
      </c>
      <c r="F188" s="4" t="s">
        <v>438</v>
      </c>
      <c r="G188" s="5">
        <f>COUNTIFS(TableFA21324[Project],TableFA21324[[#This Row],[Project]],TableFA21324[Program],TableFA21324[[#This Row],[Program]])</f>
        <v>5</v>
      </c>
      <c r="H188" s="5">
        <f>COUNTIFS(TableFA21324[Project],TableFA21324[[#This Row],[Project]])</f>
        <v>5</v>
      </c>
      <c r="K188" s="4" t="s">
        <v>31</v>
      </c>
      <c r="L188" s="4" t="s">
        <v>31</v>
      </c>
      <c r="M188" s="4" t="s">
        <v>31</v>
      </c>
      <c r="N188" s="4" t="s">
        <v>31</v>
      </c>
      <c r="O188" s="4" t="s">
        <v>31</v>
      </c>
      <c r="P188" s="4" t="s">
        <v>31</v>
      </c>
      <c r="Q188" s="4" t="s">
        <v>31</v>
      </c>
      <c r="R188" s="4" t="s">
        <v>31</v>
      </c>
      <c r="S188" s="4" t="s">
        <v>31</v>
      </c>
      <c r="T188" s="4" t="s">
        <v>31</v>
      </c>
      <c r="U188" s="4" t="s">
        <v>31</v>
      </c>
      <c r="V188" s="4" t="s">
        <v>31</v>
      </c>
      <c r="W188" s="4" t="s">
        <v>31</v>
      </c>
      <c r="X188" s="4" t="s">
        <v>31</v>
      </c>
    </row>
    <row r="189" spans="1:24" s="4" customFormat="1" x14ac:dyDescent="0.2">
      <c r="A189" t="s">
        <v>447</v>
      </c>
      <c r="B189" t="s">
        <v>448</v>
      </c>
      <c r="C189" t="s">
        <v>337</v>
      </c>
      <c r="D189" t="s">
        <v>27</v>
      </c>
      <c r="E189" s="22" t="s">
        <v>28</v>
      </c>
      <c r="G189" s="5">
        <f>COUNTIFS(TableFA21324[Project],TableFA21324[[#This Row],[Project]],TableFA21324[Program],TableFA21324[[#This Row],[Program]])</f>
        <v>0</v>
      </c>
      <c r="H189" s="5">
        <f>COUNTIFS(TableFA21324[Project],TableFA21324[[#This Row],[Project]])</f>
        <v>0</v>
      </c>
    </row>
    <row r="190" spans="1:24" s="4" customFormat="1" x14ac:dyDescent="0.2">
      <c r="A190" t="s">
        <v>449</v>
      </c>
      <c r="B190" t="s">
        <v>450</v>
      </c>
      <c r="C190" t="s">
        <v>337</v>
      </c>
      <c r="D190" t="s">
        <v>27</v>
      </c>
      <c r="E190" s="22" t="s">
        <v>28</v>
      </c>
      <c r="G190" s="5">
        <f>COUNTIFS(TableFA21324[Project],TableFA21324[[#This Row],[Project]],TableFA21324[Program],TableFA21324[[#This Row],[Program]])</f>
        <v>0</v>
      </c>
      <c r="H190" s="5">
        <f>COUNTIFS(TableFA21324[Project],TableFA21324[[#This Row],[Project]])</f>
        <v>0</v>
      </c>
    </row>
    <row r="191" spans="1:24" s="4" customFormat="1" x14ac:dyDescent="0.2">
      <c r="A191" t="s">
        <v>451</v>
      </c>
      <c r="B191" t="s">
        <v>452</v>
      </c>
      <c r="C191" t="s">
        <v>337</v>
      </c>
      <c r="D191" t="s">
        <v>27</v>
      </c>
      <c r="E191" s="22" t="s">
        <v>28</v>
      </c>
      <c r="G191" s="5">
        <f>COUNTIFS(TableFA21324[Project],TableFA21324[[#This Row],[Project]],TableFA21324[Program],TableFA21324[[#This Row],[Program]])</f>
        <v>0</v>
      </c>
      <c r="H191" s="5">
        <f>COUNTIFS(TableFA21324[Project],TableFA21324[[#This Row],[Project]])</f>
        <v>0</v>
      </c>
    </row>
    <row r="192" spans="1:24" s="4" customFormat="1" x14ac:dyDescent="0.2">
      <c r="A192" t="s">
        <v>453</v>
      </c>
      <c r="B192" t="s">
        <v>454</v>
      </c>
      <c r="C192" t="s">
        <v>337</v>
      </c>
      <c r="D192" t="s">
        <v>27</v>
      </c>
      <c r="E192" s="22" t="s">
        <v>28</v>
      </c>
      <c r="G192" s="5">
        <f>COUNTIFS(TableFA21324[Project],TableFA21324[[#This Row],[Project]],TableFA21324[Program],TableFA21324[[#This Row],[Program]])</f>
        <v>0</v>
      </c>
      <c r="H192" s="5">
        <f>COUNTIFS(TableFA21324[Project],TableFA21324[[#This Row],[Project]])</f>
        <v>0</v>
      </c>
    </row>
    <row r="193" spans="1:24" s="4" customFormat="1" x14ac:dyDescent="0.2">
      <c r="A193" t="s">
        <v>455</v>
      </c>
      <c r="B193" t="s">
        <v>456</v>
      </c>
      <c r="C193" t="s">
        <v>337</v>
      </c>
      <c r="D193" t="s">
        <v>27</v>
      </c>
      <c r="E193" s="22" t="s">
        <v>28</v>
      </c>
      <c r="G193" s="5">
        <f>COUNTIFS(TableFA21324[Project],TableFA21324[[#This Row],[Project]],TableFA21324[Program],TableFA21324[[#This Row],[Program]])</f>
        <v>0</v>
      </c>
      <c r="H193" s="5">
        <f>COUNTIFS(TableFA21324[Project],TableFA21324[[#This Row],[Project]])</f>
        <v>0</v>
      </c>
    </row>
    <row r="194" spans="1:24" s="4" customFormat="1" x14ac:dyDescent="0.2">
      <c r="A194" s="20" t="s">
        <v>457</v>
      </c>
      <c r="B194" s="20" t="s">
        <v>458</v>
      </c>
      <c r="C194" s="20" t="s">
        <v>459</v>
      </c>
      <c r="D194" s="20" t="s">
        <v>27</v>
      </c>
      <c r="E194" s="22" t="s">
        <v>28</v>
      </c>
      <c r="F194" s="5" t="s">
        <v>460</v>
      </c>
      <c r="G194" s="5">
        <f>COUNTIFS(TableFA21324[Project],TableFA21324[[#This Row],[Project]],TableFA21324[Program],TableFA21324[[#This Row],[Program]])</f>
        <v>4</v>
      </c>
      <c r="H194" s="5">
        <f>COUNTIFS(TableFA21324[Project],TableFA21324[[#This Row],[Project]])</f>
        <v>4</v>
      </c>
      <c r="I194" s="8" t="s">
        <v>30</v>
      </c>
      <c r="K194" s="4" t="s">
        <v>31</v>
      </c>
      <c r="L194" s="4" t="s">
        <v>31</v>
      </c>
      <c r="M194" s="4" t="s">
        <v>31</v>
      </c>
      <c r="N194" s="4" t="s">
        <v>31</v>
      </c>
      <c r="O194" s="4" t="s">
        <v>31</v>
      </c>
      <c r="P194" s="4" t="s">
        <v>31</v>
      </c>
      <c r="Q194" s="4" t="s">
        <v>31</v>
      </c>
      <c r="R194" s="4" t="s">
        <v>31</v>
      </c>
      <c r="S194" s="4" t="s">
        <v>31</v>
      </c>
      <c r="T194" s="4" t="s">
        <v>31</v>
      </c>
      <c r="U194" s="4" t="s">
        <v>31</v>
      </c>
      <c r="V194" s="4" t="s">
        <v>31</v>
      </c>
      <c r="W194" s="4" t="s">
        <v>31</v>
      </c>
      <c r="X194" s="4" t="s">
        <v>31</v>
      </c>
    </row>
    <row r="195" spans="1:24" s="4" customFormat="1" x14ac:dyDescent="0.2">
      <c r="A195" s="12" t="s">
        <v>461</v>
      </c>
      <c r="B195" t="s">
        <v>462</v>
      </c>
      <c r="C195" t="s">
        <v>459</v>
      </c>
      <c r="D195" t="s">
        <v>27</v>
      </c>
      <c r="E195" s="22" t="s">
        <v>28</v>
      </c>
      <c r="F195" s="4" t="s">
        <v>460</v>
      </c>
      <c r="G195" s="5">
        <f>COUNTIFS(TableFA21324[Project],TableFA21324[[#This Row],[Project]],TableFA21324[Program],TableFA21324[[#This Row],[Program]])</f>
        <v>4</v>
      </c>
      <c r="H195" s="5">
        <f>COUNTIFS(TableFA21324[Project],TableFA21324[[#This Row],[Project]])</f>
        <v>4</v>
      </c>
      <c r="K195" s="4" t="s">
        <v>31</v>
      </c>
      <c r="L195" s="4" t="s">
        <v>31</v>
      </c>
      <c r="M195" s="4" t="s">
        <v>31</v>
      </c>
      <c r="N195" s="4" t="s">
        <v>31</v>
      </c>
      <c r="O195" s="4" t="s">
        <v>31</v>
      </c>
      <c r="P195" s="4" t="s">
        <v>31</v>
      </c>
      <c r="Q195" s="4" t="s">
        <v>31</v>
      </c>
      <c r="R195" s="4" t="s">
        <v>31</v>
      </c>
      <c r="S195" s="4" t="s">
        <v>31</v>
      </c>
      <c r="T195" s="4" t="s">
        <v>31</v>
      </c>
      <c r="U195" s="4" t="s">
        <v>31</v>
      </c>
      <c r="V195" s="4" t="s">
        <v>31</v>
      </c>
      <c r="W195" s="4" t="s">
        <v>31</v>
      </c>
      <c r="X195" s="4" t="s">
        <v>31</v>
      </c>
    </row>
    <row r="196" spans="1:24" s="4" customFormat="1" x14ac:dyDescent="0.2">
      <c r="A196" s="12" t="s">
        <v>463</v>
      </c>
      <c r="B196" t="s">
        <v>464</v>
      </c>
      <c r="C196" t="s">
        <v>459</v>
      </c>
      <c r="D196" t="s">
        <v>27</v>
      </c>
      <c r="E196" s="22" t="s">
        <v>28</v>
      </c>
      <c r="F196" s="4" t="s">
        <v>460</v>
      </c>
      <c r="G196" s="5">
        <f>COUNTIFS(TableFA21324[Project],TableFA21324[[#This Row],[Project]],TableFA21324[Program],TableFA21324[[#This Row],[Program]])</f>
        <v>4</v>
      </c>
      <c r="H196" s="5">
        <f>COUNTIFS(TableFA21324[Project],TableFA21324[[#This Row],[Project]])</f>
        <v>4</v>
      </c>
      <c r="K196" s="4" t="s">
        <v>31</v>
      </c>
      <c r="L196" s="4" t="s">
        <v>31</v>
      </c>
      <c r="M196" s="4" t="s">
        <v>31</v>
      </c>
      <c r="N196" s="4" t="s">
        <v>31</v>
      </c>
      <c r="O196" s="4" t="s">
        <v>31</v>
      </c>
      <c r="P196" s="4" t="s">
        <v>31</v>
      </c>
      <c r="Q196" s="4" t="s">
        <v>31</v>
      </c>
      <c r="R196" s="4" t="s">
        <v>31</v>
      </c>
      <c r="S196" s="4" t="s">
        <v>31</v>
      </c>
      <c r="T196" s="4" t="s">
        <v>31</v>
      </c>
      <c r="U196" s="4" t="s">
        <v>31</v>
      </c>
      <c r="V196" s="4" t="s">
        <v>31</v>
      </c>
      <c r="W196" s="4" t="s">
        <v>31</v>
      </c>
      <c r="X196" s="4" t="s">
        <v>31</v>
      </c>
    </row>
    <row r="197" spans="1:24" s="4" customFormat="1" x14ac:dyDescent="0.2">
      <c r="A197" s="12" t="s">
        <v>465</v>
      </c>
      <c r="B197" t="s">
        <v>466</v>
      </c>
      <c r="C197" t="s">
        <v>459</v>
      </c>
      <c r="D197" t="s">
        <v>27</v>
      </c>
      <c r="E197" s="22" t="s">
        <v>28</v>
      </c>
      <c r="F197" s="4" t="s">
        <v>460</v>
      </c>
      <c r="G197" s="5">
        <f>COUNTIFS(TableFA21324[Project],TableFA21324[[#This Row],[Project]],TableFA21324[Program],TableFA21324[[#This Row],[Program]])</f>
        <v>4</v>
      </c>
      <c r="H197" s="5">
        <f>COUNTIFS(TableFA21324[Project],TableFA21324[[#This Row],[Project]])</f>
        <v>4</v>
      </c>
      <c r="K197" s="4" t="s">
        <v>31</v>
      </c>
      <c r="L197" s="4" t="s">
        <v>31</v>
      </c>
      <c r="M197" s="4" t="s">
        <v>31</v>
      </c>
      <c r="N197" s="4" t="s">
        <v>31</v>
      </c>
      <c r="O197" s="4" t="s">
        <v>31</v>
      </c>
      <c r="P197" s="4" t="s">
        <v>31</v>
      </c>
      <c r="Q197" s="4" t="s">
        <v>31</v>
      </c>
      <c r="R197" s="4" t="s">
        <v>31</v>
      </c>
      <c r="S197" s="4" t="s">
        <v>31</v>
      </c>
      <c r="T197" s="4" t="s">
        <v>31</v>
      </c>
      <c r="U197" s="4" t="s">
        <v>31</v>
      </c>
      <c r="V197" s="4" t="s">
        <v>31</v>
      </c>
      <c r="W197" s="4" t="s">
        <v>31</v>
      </c>
      <c r="X197" s="4" t="s">
        <v>31</v>
      </c>
    </row>
    <row r="198" spans="1:24" s="4" customFormat="1" x14ac:dyDescent="0.2">
      <c r="A198" s="20" t="s">
        <v>467</v>
      </c>
      <c r="B198" s="20" t="s">
        <v>468</v>
      </c>
      <c r="C198" s="20" t="s">
        <v>459</v>
      </c>
      <c r="D198" s="20" t="s">
        <v>27</v>
      </c>
      <c r="E198" s="22" t="s">
        <v>28</v>
      </c>
      <c r="F198" s="29" t="s">
        <v>469</v>
      </c>
      <c r="G198" s="5">
        <f>COUNTIFS(TableFA21324[Project],TableFA21324[[#This Row],[Project]],TableFA21324[Program],TableFA21324[[#This Row],[Program]])</f>
        <v>5</v>
      </c>
      <c r="H198" s="5">
        <f>COUNTIFS(TableFA21324[Project],TableFA21324[[#This Row],[Project]])</f>
        <v>5</v>
      </c>
      <c r="I198" s="5" t="s">
        <v>30</v>
      </c>
      <c r="J198" s="5"/>
      <c r="K198" s="5" t="s">
        <v>31</v>
      </c>
      <c r="L198" s="5" t="s">
        <v>31</v>
      </c>
      <c r="M198" s="5" t="s">
        <v>31</v>
      </c>
      <c r="N198" s="5" t="s">
        <v>31</v>
      </c>
      <c r="O198" s="5" t="s">
        <v>31</v>
      </c>
      <c r="P198" s="5" t="s">
        <v>31</v>
      </c>
      <c r="Q198" s="5" t="s">
        <v>31</v>
      </c>
      <c r="R198" s="5" t="s">
        <v>31</v>
      </c>
      <c r="S198" s="5" t="s">
        <v>31</v>
      </c>
      <c r="T198" s="5" t="s">
        <v>91</v>
      </c>
      <c r="U198" s="5" t="s">
        <v>31</v>
      </c>
      <c r="V198" s="5" t="s">
        <v>31</v>
      </c>
      <c r="W198" s="5"/>
      <c r="X198" s="5"/>
    </row>
    <row r="199" spans="1:24" s="4" customFormat="1" x14ac:dyDescent="0.2">
      <c r="A199" t="s">
        <v>470</v>
      </c>
      <c r="B199" t="s">
        <v>471</v>
      </c>
      <c r="C199" t="s">
        <v>459</v>
      </c>
      <c r="D199" t="s">
        <v>27</v>
      </c>
      <c r="E199" s="22" t="s">
        <v>28</v>
      </c>
      <c r="F199" s="30" t="s">
        <v>469</v>
      </c>
      <c r="G199" s="5">
        <f>COUNTIFS(TableFA21324[Project],TableFA21324[[#This Row],[Project]],TableFA21324[Program],TableFA21324[[#This Row],[Program]])</f>
        <v>5</v>
      </c>
      <c r="H199" s="5">
        <f>COUNTIFS(TableFA21324[Project],TableFA21324[[#This Row],[Project]])</f>
        <v>5</v>
      </c>
      <c r="K199" s="4" t="s">
        <v>31</v>
      </c>
      <c r="L199" s="4" t="s">
        <v>31</v>
      </c>
      <c r="M199" s="4" t="s">
        <v>91</v>
      </c>
      <c r="N199" s="4" t="s">
        <v>91</v>
      </c>
      <c r="O199" s="4" t="s">
        <v>91</v>
      </c>
      <c r="P199" s="4" t="s">
        <v>91</v>
      </c>
      <c r="Q199" s="4" t="s">
        <v>91</v>
      </c>
      <c r="R199" s="4" t="s">
        <v>91</v>
      </c>
      <c r="S199" s="4" t="s">
        <v>31</v>
      </c>
      <c r="T199" s="4" t="s">
        <v>31</v>
      </c>
      <c r="U199" s="4" t="s">
        <v>31</v>
      </c>
      <c r="V199" s="5" t="s">
        <v>31</v>
      </c>
    </row>
    <row r="200" spans="1:24" s="4" customFormat="1" x14ac:dyDescent="0.2">
      <c r="A200" t="s">
        <v>472</v>
      </c>
      <c r="B200" t="s">
        <v>473</v>
      </c>
      <c r="C200" t="s">
        <v>459</v>
      </c>
      <c r="D200" t="s">
        <v>27</v>
      </c>
      <c r="E200" s="22" t="s">
        <v>28</v>
      </c>
      <c r="F200" s="30" t="s">
        <v>469</v>
      </c>
      <c r="G200" s="5">
        <f>COUNTIFS(TableFA21324[Project],TableFA21324[[#This Row],[Project]],TableFA21324[Program],TableFA21324[[#This Row],[Program]])</f>
        <v>5</v>
      </c>
      <c r="H200" s="5">
        <f>COUNTIFS(TableFA21324[Project],TableFA21324[[#This Row],[Project]])</f>
        <v>5</v>
      </c>
      <c r="K200" s="4" t="s">
        <v>31</v>
      </c>
      <c r="L200" s="4" t="s">
        <v>31</v>
      </c>
      <c r="M200" s="4" t="s">
        <v>31</v>
      </c>
      <c r="N200" s="4" t="s">
        <v>31</v>
      </c>
      <c r="O200" s="4" t="s">
        <v>31</v>
      </c>
      <c r="P200" s="4" t="s">
        <v>31</v>
      </c>
      <c r="Q200" s="4" t="s">
        <v>31</v>
      </c>
      <c r="R200" s="4" t="s">
        <v>31</v>
      </c>
      <c r="S200" s="4" t="s">
        <v>31</v>
      </c>
      <c r="T200" s="4" t="s">
        <v>31</v>
      </c>
      <c r="U200" s="4" t="s">
        <v>31</v>
      </c>
      <c r="V200" s="5" t="s">
        <v>31</v>
      </c>
    </row>
    <row r="201" spans="1:24" s="4" customFormat="1" x14ac:dyDescent="0.2">
      <c r="A201" t="s">
        <v>474</v>
      </c>
      <c r="B201" t="s">
        <v>475</v>
      </c>
      <c r="C201" t="s">
        <v>459</v>
      </c>
      <c r="D201" t="s">
        <v>27</v>
      </c>
      <c r="E201" s="22" t="s">
        <v>28</v>
      </c>
      <c r="F201" s="30" t="s">
        <v>469</v>
      </c>
      <c r="G201" s="5">
        <f>COUNTIFS(TableFA21324[Project],TableFA21324[[#This Row],[Project]],TableFA21324[Program],TableFA21324[[#This Row],[Program]])</f>
        <v>5</v>
      </c>
      <c r="H201" s="5">
        <f>COUNTIFS(TableFA21324[Project],TableFA21324[[#This Row],[Project]])</f>
        <v>5</v>
      </c>
      <c r="K201" s="4" t="s">
        <v>31</v>
      </c>
      <c r="L201" s="4" t="s">
        <v>31</v>
      </c>
      <c r="M201" s="4" t="s">
        <v>31</v>
      </c>
      <c r="N201" s="4" t="s">
        <v>31</v>
      </c>
      <c r="O201" s="4" t="s">
        <v>31</v>
      </c>
      <c r="P201" s="4" t="s">
        <v>91</v>
      </c>
      <c r="Q201" s="4" t="s">
        <v>91</v>
      </c>
      <c r="R201" s="4" t="s">
        <v>91</v>
      </c>
      <c r="S201" s="4" t="s">
        <v>31</v>
      </c>
      <c r="T201" s="4" t="s">
        <v>31</v>
      </c>
      <c r="U201" s="4" t="s">
        <v>31</v>
      </c>
      <c r="V201" s="5" t="s">
        <v>31</v>
      </c>
    </row>
    <row r="202" spans="1:24" s="4" customFormat="1" x14ac:dyDescent="0.2">
      <c r="A202" t="s">
        <v>476</v>
      </c>
      <c r="B202" t="s">
        <v>477</v>
      </c>
      <c r="C202" t="s">
        <v>459</v>
      </c>
      <c r="D202" t="s">
        <v>27</v>
      </c>
      <c r="E202" s="22" t="s">
        <v>28</v>
      </c>
      <c r="F202" s="30" t="s">
        <v>469</v>
      </c>
      <c r="G202" s="5">
        <f>COUNTIFS(TableFA21324[Project],TableFA21324[[#This Row],[Project]],TableFA21324[Program],TableFA21324[[#This Row],[Program]])</f>
        <v>5</v>
      </c>
      <c r="H202" s="5">
        <f>COUNTIFS(TableFA21324[Project],TableFA21324[[#This Row],[Project]])</f>
        <v>5</v>
      </c>
      <c r="K202" s="4" t="s">
        <v>31</v>
      </c>
      <c r="L202" s="4" t="s">
        <v>31</v>
      </c>
      <c r="M202" s="4" t="s">
        <v>31</v>
      </c>
      <c r="N202" s="4" t="s">
        <v>31</v>
      </c>
      <c r="O202" s="4" t="s">
        <v>31</v>
      </c>
      <c r="P202" s="4" t="s">
        <v>31</v>
      </c>
      <c r="Q202" s="4" t="s">
        <v>31</v>
      </c>
      <c r="R202" s="4" t="s">
        <v>31</v>
      </c>
      <c r="S202" s="4" t="s">
        <v>31</v>
      </c>
      <c r="T202" s="4" t="s">
        <v>31</v>
      </c>
      <c r="U202" s="4" t="s">
        <v>31</v>
      </c>
      <c r="V202" s="5" t="s">
        <v>31</v>
      </c>
    </row>
    <row r="203" spans="1:24" s="4" customFormat="1" x14ac:dyDescent="0.2">
      <c r="A203" s="20" t="s">
        <v>478</v>
      </c>
      <c r="B203" s="20" t="s">
        <v>479</v>
      </c>
      <c r="C203" s="20" t="s">
        <v>480</v>
      </c>
      <c r="D203" s="20" t="s">
        <v>54</v>
      </c>
      <c r="E203" s="22" t="s">
        <v>28</v>
      </c>
      <c r="F203" s="5" t="s">
        <v>481</v>
      </c>
      <c r="G203" s="5">
        <f>COUNTIFS(TableFA21324[Project],TableFA21324[[#This Row],[Project]],TableFA21324[Program],TableFA21324[[#This Row],[Program]])</f>
        <v>5</v>
      </c>
      <c r="H203" s="5">
        <f>COUNTIFS(TableFA21324[Project],TableFA21324[[#This Row],[Project]])</f>
        <v>5</v>
      </c>
      <c r="I203" s="5" t="s">
        <v>30</v>
      </c>
      <c r="J203" s="5"/>
      <c r="K203" s="4" t="s">
        <v>31</v>
      </c>
      <c r="L203" s="4" t="s">
        <v>31</v>
      </c>
      <c r="M203" s="4" t="s">
        <v>31</v>
      </c>
      <c r="N203" s="4" t="s">
        <v>31</v>
      </c>
      <c r="O203" s="4" t="s">
        <v>31</v>
      </c>
      <c r="P203" s="4" t="s">
        <v>31</v>
      </c>
      <c r="Q203" s="4" t="s">
        <v>31</v>
      </c>
      <c r="R203" s="4" t="s">
        <v>31</v>
      </c>
      <c r="S203" s="4" t="s">
        <v>31</v>
      </c>
      <c r="T203" s="4" t="s">
        <v>31</v>
      </c>
      <c r="U203" s="4" t="s">
        <v>31</v>
      </c>
      <c r="V203" s="4" t="s">
        <v>31</v>
      </c>
      <c r="W203" s="4" t="s">
        <v>31</v>
      </c>
      <c r="X203" s="4" t="s">
        <v>31</v>
      </c>
    </row>
    <row r="204" spans="1:24" s="4" customFormat="1" x14ac:dyDescent="0.2">
      <c r="A204" t="s">
        <v>482</v>
      </c>
      <c r="B204" t="s">
        <v>483</v>
      </c>
      <c r="C204" t="s">
        <v>480</v>
      </c>
      <c r="D204" t="s">
        <v>54</v>
      </c>
      <c r="E204" s="22" t="s">
        <v>28</v>
      </c>
      <c r="F204" s="4" t="s">
        <v>481</v>
      </c>
      <c r="G204" s="5">
        <f>COUNTIFS(TableFA21324[Project],TableFA21324[[#This Row],[Project]],TableFA21324[Program],TableFA21324[[#This Row],[Program]])</f>
        <v>5</v>
      </c>
      <c r="H204" s="5">
        <f>COUNTIFS(TableFA21324[Project],TableFA21324[[#This Row],[Project]])</f>
        <v>5</v>
      </c>
      <c r="I204" s="5"/>
      <c r="J204" s="5"/>
      <c r="K204" s="4" t="s">
        <v>31</v>
      </c>
      <c r="L204" s="4" t="s">
        <v>31</v>
      </c>
      <c r="M204" s="4" t="s">
        <v>31</v>
      </c>
      <c r="N204" s="4" t="s">
        <v>31</v>
      </c>
      <c r="O204" s="4" t="s">
        <v>31</v>
      </c>
      <c r="P204" s="4" t="s">
        <v>31</v>
      </c>
      <c r="Q204" s="4" t="s">
        <v>31</v>
      </c>
      <c r="R204" s="4" t="s">
        <v>31</v>
      </c>
      <c r="S204" s="4" t="s">
        <v>31</v>
      </c>
      <c r="T204" s="4" t="s">
        <v>31</v>
      </c>
      <c r="U204" s="4" t="s">
        <v>31</v>
      </c>
      <c r="V204" s="4" t="s">
        <v>31</v>
      </c>
      <c r="W204" s="4" t="s">
        <v>31</v>
      </c>
      <c r="X204" s="4" t="s">
        <v>31</v>
      </c>
    </row>
    <row r="205" spans="1:24" s="4" customFormat="1" x14ac:dyDescent="0.2">
      <c r="A205" t="s">
        <v>484</v>
      </c>
      <c r="B205" t="s">
        <v>485</v>
      </c>
      <c r="C205" t="s">
        <v>480</v>
      </c>
      <c r="D205" t="s">
        <v>54</v>
      </c>
      <c r="E205" s="22" t="s">
        <v>28</v>
      </c>
      <c r="F205" s="4" t="s">
        <v>481</v>
      </c>
      <c r="G205" s="5">
        <f>COUNTIFS(TableFA21324[Project],TableFA21324[[#This Row],[Project]],TableFA21324[Program],TableFA21324[[#This Row],[Program]])</f>
        <v>5</v>
      </c>
      <c r="H205" s="5">
        <f>COUNTIFS(TableFA21324[Project],TableFA21324[[#This Row],[Project]])</f>
        <v>5</v>
      </c>
      <c r="K205" s="4" t="s">
        <v>31</v>
      </c>
      <c r="L205" s="4" t="s">
        <v>31</v>
      </c>
      <c r="M205" s="4" t="s">
        <v>31</v>
      </c>
      <c r="N205" s="4" t="s">
        <v>31</v>
      </c>
      <c r="O205" s="4" t="s">
        <v>31</v>
      </c>
      <c r="P205" s="4" t="s">
        <v>31</v>
      </c>
      <c r="Q205" s="4" t="s">
        <v>31</v>
      </c>
      <c r="R205" s="4" t="s">
        <v>31</v>
      </c>
      <c r="S205" s="4" t="s">
        <v>31</v>
      </c>
      <c r="T205" s="4" t="s">
        <v>31</v>
      </c>
      <c r="U205" s="4" t="s">
        <v>31</v>
      </c>
      <c r="V205" s="4" t="s">
        <v>31</v>
      </c>
      <c r="W205" s="4" t="s">
        <v>31</v>
      </c>
      <c r="X205" s="4" t="s">
        <v>31</v>
      </c>
    </row>
    <row r="206" spans="1:24" s="4" customFormat="1" x14ac:dyDescent="0.2">
      <c r="A206" t="s">
        <v>486</v>
      </c>
      <c r="B206" t="s">
        <v>487</v>
      </c>
      <c r="C206" t="s">
        <v>480</v>
      </c>
      <c r="D206" t="s">
        <v>54</v>
      </c>
      <c r="E206" s="22" t="s">
        <v>28</v>
      </c>
      <c r="F206" s="4" t="s">
        <v>481</v>
      </c>
      <c r="G206" s="5">
        <f>COUNTIFS(TableFA21324[Project],TableFA21324[[#This Row],[Project]],TableFA21324[Program],TableFA21324[[#This Row],[Program]])</f>
        <v>5</v>
      </c>
      <c r="H206" s="5">
        <f>COUNTIFS(TableFA21324[Project],TableFA21324[[#This Row],[Project]])</f>
        <v>5</v>
      </c>
      <c r="K206" s="4" t="s">
        <v>31</v>
      </c>
      <c r="L206" s="4" t="s">
        <v>31</v>
      </c>
      <c r="M206" s="4" t="s">
        <v>31</v>
      </c>
      <c r="N206" s="4" t="s">
        <v>31</v>
      </c>
      <c r="O206" s="4" t="s">
        <v>31</v>
      </c>
      <c r="P206" s="4" t="s">
        <v>31</v>
      </c>
      <c r="Q206" s="4" t="s">
        <v>31</v>
      </c>
      <c r="R206" s="4" t="s">
        <v>31</v>
      </c>
      <c r="S206" s="4" t="s">
        <v>31</v>
      </c>
      <c r="T206" s="4" t="s">
        <v>31</v>
      </c>
      <c r="U206" s="4" t="s">
        <v>31</v>
      </c>
      <c r="V206" s="4" t="s">
        <v>31</v>
      </c>
      <c r="W206" s="4" t="s">
        <v>31</v>
      </c>
      <c r="X206" s="4" t="s">
        <v>31</v>
      </c>
    </row>
    <row r="207" spans="1:24" s="4" customFormat="1" x14ac:dyDescent="0.2">
      <c r="A207" t="s">
        <v>488</v>
      </c>
      <c r="B207" t="s">
        <v>489</v>
      </c>
      <c r="C207" t="s">
        <v>480</v>
      </c>
      <c r="D207" t="s">
        <v>54</v>
      </c>
      <c r="E207" s="22" t="s">
        <v>28</v>
      </c>
      <c r="F207" s="4" t="s">
        <v>481</v>
      </c>
      <c r="G207" s="5">
        <f>COUNTIFS(TableFA21324[Project],TableFA21324[[#This Row],[Project]],TableFA21324[Program],TableFA21324[[#This Row],[Program]])</f>
        <v>5</v>
      </c>
      <c r="H207" s="5">
        <f>COUNTIFS(TableFA21324[Project],TableFA21324[[#This Row],[Project]])</f>
        <v>5</v>
      </c>
      <c r="K207" s="4" t="s">
        <v>31</v>
      </c>
      <c r="L207" s="4" t="s">
        <v>31</v>
      </c>
      <c r="M207" s="4" t="s">
        <v>31</v>
      </c>
      <c r="N207" s="4" t="s">
        <v>31</v>
      </c>
      <c r="O207" s="4" t="s">
        <v>31</v>
      </c>
      <c r="P207" s="4" t="s">
        <v>31</v>
      </c>
      <c r="Q207" s="4" t="s">
        <v>31</v>
      </c>
      <c r="R207" s="4" t="s">
        <v>31</v>
      </c>
      <c r="S207" s="4" t="s">
        <v>31</v>
      </c>
      <c r="T207" s="4" t="s">
        <v>31</v>
      </c>
      <c r="U207" s="4" t="s">
        <v>31</v>
      </c>
      <c r="V207" s="4" t="s">
        <v>31</v>
      </c>
      <c r="W207" s="4" t="s">
        <v>31</v>
      </c>
      <c r="X207" s="4" t="s">
        <v>31</v>
      </c>
    </row>
    <row r="208" spans="1:24" s="4" customFormat="1" x14ac:dyDescent="0.2">
      <c r="A208" t="s">
        <v>490</v>
      </c>
      <c r="B208" s="26" t="s">
        <v>491</v>
      </c>
      <c r="C208" s="26" t="s">
        <v>480</v>
      </c>
      <c r="D208" s="26" t="s">
        <v>27</v>
      </c>
      <c r="E208" s="22" t="s">
        <v>28</v>
      </c>
      <c r="F208" s="8" t="s">
        <v>492</v>
      </c>
      <c r="G208" s="5">
        <f>COUNTIFS(TableFA21324[Project],TableFA21324[[#This Row],[Project]],TableFA21324[Program],TableFA21324[[#This Row],[Program]])</f>
        <v>5</v>
      </c>
      <c r="H208" s="5">
        <f>COUNTIFS(TableFA21324[Project],TableFA21324[[#This Row],[Project]])</f>
        <v>5</v>
      </c>
      <c r="I208" s="8" t="s">
        <v>30</v>
      </c>
      <c r="K208" s="4" t="s">
        <v>31</v>
      </c>
      <c r="L208" s="4" t="s">
        <v>31</v>
      </c>
      <c r="M208" s="4" t="s">
        <v>31</v>
      </c>
      <c r="N208" s="4" t="s">
        <v>31</v>
      </c>
      <c r="O208" s="4" t="s">
        <v>91</v>
      </c>
      <c r="P208" s="4" t="s">
        <v>31</v>
      </c>
      <c r="Q208" s="4" t="s">
        <v>31</v>
      </c>
      <c r="R208" s="4" t="s">
        <v>31</v>
      </c>
      <c r="S208" s="4" t="s">
        <v>31</v>
      </c>
      <c r="T208" s="4" t="s">
        <v>31</v>
      </c>
      <c r="U208" s="4" t="s">
        <v>91</v>
      </c>
      <c r="V208" s="4" t="s">
        <v>31</v>
      </c>
      <c r="W208" s="4" t="s">
        <v>31</v>
      </c>
      <c r="X208" s="4" t="s">
        <v>91</v>
      </c>
    </row>
    <row r="209" spans="1:24" s="4" customFormat="1" x14ac:dyDescent="0.2">
      <c r="A209" t="s">
        <v>493</v>
      </c>
      <c r="B209" t="s">
        <v>494</v>
      </c>
      <c r="C209" t="s">
        <v>480</v>
      </c>
      <c r="D209" t="s">
        <v>27</v>
      </c>
      <c r="E209" s="22" t="s">
        <v>28</v>
      </c>
      <c r="F209" s="4" t="s">
        <v>492</v>
      </c>
      <c r="G209" s="5">
        <f>COUNTIFS(TableFA21324[Project],TableFA21324[[#This Row],[Project]],TableFA21324[Program],TableFA21324[[#This Row],[Program]])</f>
        <v>5</v>
      </c>
      <c r="H209" s="5">
        <f>COUNTIFS(TableFA21324[Project],TableFA21324[[#This Row],[Project]])</f>
        <v>5</v>
      </c>
      <c r="K209" s="4" t="s">
        <v>91</v>
      </c>
      <c r="L209" s="4" t="s">
        <v>31</v>
      </c>
      <c r="M209" s="4" t="s">
        <v>31</v>
      </c>
      <c r="N209" s="4" t="s">
        <v>31</v>
      </c>
      <c r="O209" s="4" t="s">
        <v>31</v>
      </c>
      <c r="P209" s="4" t="s">
        <v>31</v>
      </c>
      <c r="Q209" s="4" t="s">
        <v>31</v>
      </c>
      <c r="R209" s="4" t="s">
        <v>31</v>
      </c>
      <c r="S209" s="4" t="s">
        <v>31</v>
      </c>
      <c r="T209" s="4" t="s">
        <v>31</v>
      </c>
      <c r="U209" s="4" t="s">
        <v>31</v>
      </c>
      <c r="V209" s="4" t="s">
        <v>31</v>
      </c>
      <c r="W209" s="4" t="s">
        <v>31</v>
      </c>
      <c r="X209" s="4" t="s">
        <v>31</v>
      </c>
    </row>
    <row r="210" spans="1:24" s="4" customFormat="1" x14ac:dyDescent="0.2">
      <c r="A210" t="s">
        <v>495</v>
      </c>
      <c r="B210" t="s">
        <v>496</v>
      </c>
      <c r="C210" t="s">
        <v>480</v>
      </c>
      <c r="D210" t="s">
        <v>27</v>
      </c>
      <c r="E210" s="22" t="s">
        <v>28</v>
      </c>
      <c r="F210" s="4" t="s">
        <v>492</v>
      </c>
      <c r="G210" s="5">
        <f>COUNTIFS(TableFA21324[Project],TableFA21324[[#This Row],[Project]],TableFA21324[Program],TableFA21324[[#This Row],[Program]])</f>
        <v>5</v>
      </c>
      <c r="H210" s="5">
        <f>COUNTIFS(TableFA21324[Project],TableFA21324[[#This Row],[Project]])</f>
        <v>5</v>
      </c>
      <c r="K210" s="4" t="s">
        <v>31</v>
      </c>
      <c r="L210" s="4" t="s">
        <v>31</v>
      </c>
      <c r="M210" s="4" t="s">
        <v>31</v>
      </c>
      <c r="N210" s="4" t="s">
        <v>91</v>
      </c>
      <c r="O210" s="4" t="s">
        <v>91</v>
      </c>
      <c r="P210" s="4" t="s">
        <v>31</v>
      </c>
      <c r="Q210" s="4" t="s">
        <v>31</v>
      </c>
      <c r="R210" s="4" t="s">
        <v>31</v>
      </c>
      <c r="S210" s="4" t="s">
        <v>31</v>
      </c>
      <c r="T210" s="4" t="s">
        <v>91</v>
      </c>
      <c r="U210" s="4" t="s">
        <v>31</v>
      </c>
      <c r="V210" s="4" t="s">
        <v>31</v>
      </c>
      <c r="W210" s="4" t="s">
        <v>31</v>
      </c>
      <c r="X210" s="4" t="s">
        <v>91</v>
      </c>
    </row>
    <row r="211" spans="1:24" s="4" customFormat="1" x14ac:dyDescent="0.2">
      <c r="A211" t="s">
        <v>497</v>
      </c>
      <c r="B211" t="s">
        <v>498</v>
      </c>
      <c r="C211" t="s">
        <v>480</v>
      </c>
      <c r="D211" t="s">
        <v>27</v>
      </c>
      <c r="E211" s="22" t="s">
        <v>28</v>
      </c>
      <c r="F211" s="4" t="s">
        <v>492</v>
      </c>
      <c r="G211" s="5">
        <f>COUNTIFS(TableFA21324[Project],TableFA21324[[#This Row],[Project]],TableFA21324[Program],TableFA21324[[#This Row],[Program]])</f>
        <v>5</v>
      </c>
      <c r="H211" s="5">
        <f>COUNTIFS(TableFA21324[Project],TableFA21324[[#This Row],[Project]])</f>
        <v>5</v>
      </c>
      <c r="K211" s="4" t="s">
        <v>31</v>
      </c>
      <c r="L211" s="4" t="s">
        <v>31</v>
      </c>
      <c r="M211" s="4" t="s">
        <v>31</v>
      </c>
      <c r="N211" s="4" t="s">
        <v>31</v>
      </c>
      <c r="O211" s="4" t="s">
        <v>31</v>
      </c>
      <c r="P211" s="4" t="s">
        <v>31</v>
      </c>
      <c r="Q211" s="4" t="s">
        <v>31</v>
      </c>
      <c r="R211" s="4" t="s">
        <v>31</v>
      </c>
      <c r="S211" s="4" t="s">
        <v>31</v>
      </c>
      <c r="T211" s="4" t="s">
        <v>31</v>
      </c>
      <c r="U211" s="4" t="s">
        <v>31</v>
      </c>
      <c r="V211" s="4" t="s">
        <v>31</v>
      </c>
      <c r="W211" s="4" t="s">
        <v>31</v>
      </c>
      <c r="X211" s="4" t="s">
        <v>31</v>
      </c>
    </row>
    <row r="212" spans="1:24" s="4" customFormat="1" x14ac:dyDescent="0.2">
      <c r="A212" t="s">
        <v>499</v>
      </c>
      <c r="B212" t="s">
        <v>500</v>
      </c>
      <c r="C212" s="10" t="s">
        <v>480</v>
      </c>
      <c r="D212" s="10" t="s">
        <v>27</v>
      </c>
      <c r="E212" s="22" t="s">
        <v>28</v>
      </c>
      <c r="F212" s="9" t="s">
        <v>492</v>
      </c>
      <c r="G212" s="5">
        <f>COUNTIFS(TableFA21324[Project],TableFA21324[[#This Row],[Project]],TableFA21324[Program],TableFA21324[[#This Row],[Program]])</f>
        <v>5</v>
      </c>
      <c r="H212" s="5">
        <f>COUNTIFS(TableFA21324[Project],TableFA21324[[#This Row],[Project]])</f>
        <v>5</v>
      </c>
      <c r="I212" s="8"/>
      <c r="K212" s="4" t="s">
        <v>31</v>
      </c>
      <c r="L212" s="4" t="s">
        <v>31</v>
      </c>
      <c r="M212" s="4" t="s">
        <v>31</v>
      </c>
      <c r="N212" s="4" t="s">
        <v>31</v>
      </c>
      <c r="O212" s="4" t="s">
        <v>31</v>
      </c>
      <c r="P212" s="4" t="s">
        <v>31</v>
      </c>
      <c r="Q212" s="4" t="s">
        <v>31</v>
      </c>
      <c r="R212" s="4" t="s">
        <v>31</v>
      </c>
      <c r="S212" s="4" t="s">
        <v>31</v>
      </c>
      <c r="T212" s="4" t="s">
        <v>31</v>
      </c>
      <c r="U212" s="4" t="s">
        <v>31</v>
      </c>
      <c r="V212" s="4" t="s">
        <v>31</v>
      </c>
      <c r="W212" s="4" t="s">
        <v>31</v>
      </c>
      <c r="X212" s="4" t="s">
        <v>31</v>
      </c>
    </row>
    <row r="213" spans="1:24" s="4" customFormat="1" x14ac:dyDescent="0.2">
      <c r="A213" s="20" t="s">
        <v>501</v>
      </c>
      <c r="B213" s="20" t="s">
        <v>502</v>
      </c>
      <c r="C213" s="20" t="s">
        <v>480</v>
      </c>
      <c r="D213" s="20" t="s">
        <v>27</v>
      </c>
      <c r="E213" s="22" t="s">
        <v>28</v>
      </c>
      <c r="F213" s="5" t="s">
        <v>503</v>
      </c>
      <c r="G213" s="5">
        <f>COUNTIFS(TableFA21324[Project],TableFA21324[[#This Row],[Project]],TableFA21324[Program],TableFA21324[[#This Row],[Program]])</f>
        <v>5</v>
      </c>
      <c r="H213" s="5">
        <f>COUNTIFS(TableFA21324[Project],TableFA21324[[#This Row],[Project]])</f>
        <v>5</v>
      </c>
      <c r="I213" s="5" t="s">
        <v>30</v>
      </c>
      <c r="K213" s="4" t="s">
        <v>31</v>
      </c>
      <c r="L213" s="4" t="s">
        <v>31</v>
      </c>
      <c r="M213" s="4" t="s">
        <v>31</v>
      </c>
      <c r="N213" s="4" t="s">
        <v>31</v>
      </c>
      <c r="O213" s="4" t="s">
        <v>31</v>
      </c>
      <c r="P213" s="4" t="s">
        <v>31</v>
      </c>
      <c r="Q213" s="4" t="s">
        <v>31</v>
      </c>
      <c r="R213" s="4" t="s">
        <v>31</v>
      </c>
      <c r="S213" s="4" t="s">
        <v>31</v>
      </c>
      <c r="T213" s="4" t="s">
        <v>31</v>
      </c>
      <c r="U213" s="4" t="s">
        <v>31</v>
      </c>
      <c r="V213" s="4" t="s">
        <v>31</v>
      </c>
      <c r="W213" s="4" t="s">
        <v>31</v>
      </c>
      <c r="X213" s="4" t="s">
        <v>31</v>
      </c>
    </row>
    <row r="214" spans="1:24" s="4" customFormat="1" x14ac:dyDescent="0.2">
      <c r="A214" t="s">
        <v>504</v>
      </c>
      <c r="B214" t="s">
        <v>505</v>
      </c>
      <c r="C214" t="s">
        <v>480</v>
      </c>
      <c r="D214" t="s">
        <v>27</v>
      </c>
      <c r="E214" s="22" t="s">
        <v>28</v>
      </c>
      <c r="F214" s="4" t="s">
        <v>503</v>
      </c>
      <c r="G214" s="5">
        <f>COUNTIFS(TableFA21324[Project],TableFA21324[[#This Row],[Project]],TableFA21324[Program],TableFA21324[[#This Row],[Program]])</f>
        <v>5</v>
      </c>
      <c r="H214" s="5">
        <f>COUNTIFS(TableFA21324[Project],TableFA21324[[#This Row],[Project]])</f>
        <v>5</v>
      </c>
      <c r="K214" s="4" t="s">
        <v>31</v>
      </c>
      <c r="L214" s="4" t="s">
        <v>31</v>
      </c>
      <c r="M214" s="4" t="s">
        <v>31</v>
      </c>
      <c r="N214" s="4" t="s">
        <v>31</v>
      </c>
      <c r="O214" s="4" t="s">
        <v>31</v>
      </c>
      <c r="P214" s="4" t="s">
        <v>31</v>
      </c>
      <c r="Q214" s="4" t="s">
        <v>31</v>
      </c>
      <c r="R214" s="4" t="s">
        <v>31</v>
      </c>
      <c r="S214" s="4" t="s">
        <v>31</v>
      </c>
      <c r="T214" s="4" t="s">
        <v>31</v>
      </c>
      <c r="U214" s="4" t="s">
        <v>31</v>
      </c>
      <c r="V214" s="4" t="s">
        <v>31</v>
      </c>
      <c r="W214" s="4" t="s">
        <v>31</v>
      </c>
      <c r="X214" s="4" t="s">
        <v>31</v>
      </c>
    </row>
    <row r="215" spans="1:24" s="4" customFormat="1" x14ac:dyDescent="0.2">
      <c r="A215" t="s">
        <v>506</v>
      </c>
      <c r="B215" t="s">
        <v>507</v>
      </c>
      <c r="C215" t="s">
        <v>480</v>
      </c>
      <c r="D215" t="s">
        <v>27</v>
      </c>
      <c r="E215" s="22" t="s">
        <v>28</v>
      </c>
      <c r="F215" s="4" t="s">
        <v>503</v>
      </c>
      <c r="G215" s="5">
        <f>COUNTIFS(TableFA21324[Project],TableFA21324[[#This Row],[Project]],TableFA21324[Program],TableFA21324[[#This Row],[Program]])</f>
        <v>5</v>
      </c>
      <c r="H215" s="5">
        <f>COUNTIFS(TableFA21324[Project],TableFA21324[[#This Row],[Project]])</f>
        <v>5</v>
      </c>
      <c r="K215" s="4" t="s">
        <v>31</v>
      </c>
      <c r="L215" s="4" t="s">
        <v>31</v>
      </c>
      <c r="M215" s="4" t="s">
        <v>31</v>
      </c>
      <c r="N215" s="4" t="s">
        <v>31</v>
      </c>
      <c r="O215" s="4" t="s">
        <v>31</v>
      </c>
      <c r="P215" s="4" t="s">
        <v>31</v>
      </c>
      <c r="Q215" s="4" t="s">
        <v>31</v>
      </c>
      <c r="R215" s="4" t="s">
        <v>31</v>
      </c>
      <c r="S215" s="4" t="s">
        <v>31</v>
      </c>
      <c r="T215" s="4" t="s">
        <v>31</v>
      </c>
      <c r="U215" s="4" t="s">
        <v>31</v>
      </c>
      <c r="V215" s="4" t="s">
        <v>31</v>
      </c>
      <c r="W215" s="4" t="s">
        <v>31</v>
      </c>
      <c r="X215" s="4" t="s">
        <v>31</v>
      </c>
    </row>
    <row r="216" spans="1:24" s="4" customFormat="1" x14ac:dyDescent="0.2">
      <c r="A216" t="s">
        <v>508</v>
      </c>
      <c r="B216" t="s">
        <v>509</v>
      </c>
      <c r="C216" t="s">
        <v>480</v>
      </c>
      <c r="D216" t="s">
        <v>27</v>
      </c>
      <c r="E216" s="22" t="s">
        <v>28</v>
      </c>
      <c r="F216" s="4" t="s">
        <v>503</v>
      </c>
      <c r="G216" s="5">
        <f>COUNTIFS(TableFA21324[Project],TableFA21324[[#This Row],[Project]],TableFA21324[Program],TableFA21324[[#This Row],[Program]])</f>
        <v>5</v>
      </c>
      <c r="H216" s="5">
        <f>COUNTIFS(TableFA21324[Project],TableFA21324[[#This Row],[Project]])</f>
        <v>5</v>
      </c>
      <c r="K216" s="4" t="s">
        <v>31</v>
      </c>
      <c r="L216" s="4" t="s">
        <v>31</v>
      </c>
      <c r="M216" s="4" t="s">
        <v>31</v>
      </c>
      <c r="N216" s="4" t="s">
        <v>31</v>
      </c>
      <c r="O216" s="4" t="s">
        <v>31</v>
      </c>
      <c r="P216" s="4" t="s">
        <v>31</v>
      </c>
      <c r="Q216" s="4" t="s">
        <v>31</v>
      </c>
      <c r="R216" s="4" t="s">
        <v>31</v>
      </c>
      <c r="S216" s="4" t="s">
        <v>31</v>
      </c>
      <c r="T216" s="4" t="s">
        <v>31</v>
      </c>
      <c r="U216" s="4" t="s">
        <v>31</v>
      </c>
      <c r="V216" s="4" t="s">
        <v>31</v>
      </c>
      <c r="W216" s="4" t="s">
        <v>31</v>
      </c>
      <c r="X216" s="4" t="s">
        <v>31</v>
      </c>
    </row>
    <row r="217" spans="1:24" s="4" customFormat="1" x14ac:dyDescent="0.2">
      <c r="A217" t="s">
        <v>510</v>
      </c>
      <c r="B217" t="s">
        <v>511</v>
      </c>
      <c r="C217" t="s">
        <v>480</v>
      </c>
      <c r="D217" t="s">
        <v>54</v>
      </c>
      <c r="E217" s="22" t="s">
        <v>28</v>
      </c>
      <c r="F217" s="4" t="s">
        <v>503</v>
      </c>
      <c r="G217" s="5">
        <f>COUNTIFS(TableFA21324[Project],TableFA21324[[#This Row],[Project]],TableFA21324[Program],TableFA21324[[#This Row],[Program]])</f>
        <v>5</v>
      </c>
      <c r="H217" s="5">
        <f>COUNTIFS(TableFA21324[Project],TableFA21324[[#This Row],[Project]])</f>
        <v>5</v>
      </c>
      <c r="K217" s="4" t="s">
        <v>31</v>
      </c>
      <c r="L217" s="4" t="s">
        <v>31</v>
      </c>
      <c r="M217" s="4" t="s">
        <v>31</v>
      </c>
      <c r="N217" s="4" t="s">
        <v>31</v>
      </c>
      <c r="O217" s="4" t="s">
        <v>31</v>
      </c>
      <c r="P217" s="4" t="s">
        <v>31</v>
      </c>
      <c r="Q217" s="4" t="s">
        <v>31</v>
      </c>
      <c r="R217" s="4" t="s">
        <v>31</v>
      </c>
      <c r="S217" s="4" t="s">
        <v>31</v>
      </c>
      <c r="T217" s="4" t="s">
        <v>31</v>
      </c>
      <c r="U217" s="4" t="s">
        <v>31</v>
      </c>
      <c r="V217" s="4" t="s">
        <v>31</v>
      </c>
      <c r="W217" s="4" t="s">
        <v>31</v>
      </c>
      <c r="X217" s="4" t="s">
        <v>31</v>
      </c>
    </row>
    <row r="218" spans="1:24" s="4" customFormat="1" x14ac:dyDescent="0.2">
      <c r="A218" s="20" t="s">
        <v>512</v>
      </c>
      <c r="B218" s="20" t="s">
        <v>513</v>
      </c>
      <c r="C218" s="20" t="s">
        <v>480</v>
      </c>
      <c r="D218" s="20" t="s">
        <v>27</v>
      </c>
      <c r="E218" s="22" t="s">
        <v>28</v>
      </c>
      <c r="F218" s="5" t="s">
        <v>514</v>
      </c>
      <c r="G218" s="5">
        <f>COUNTIFS(TableFA21324[Project],TableFA21324[[#This Row],[Project]],TableFA21324[Program],TableFA21324[[#This Row],[Program]])</f>
        <v>5</v>
      </c>
      <c r="H218" s="5">
        <f>COUNTIFS(TableFA21324[Project],TableFA21324[[#This Row],[Project]])</f>
        <v>5</v>
      </c>
      <c r="I218" s="5" t="s">
        <v>30</v>
      </c>
      <c r="J218" s="5"/>
      <c r="K218" s="5" t="s">
        <v>31</v>
      </c>
      <c r="L218" s="5" t="s">
        <v>31</v>
      </c>
      <c r="M218" s="5" t="s">
        <v>31</v>
      </c>
      <c r="N218" s="5" t="s">
        <v>31</v>
      </c>
      <c r="O218" s="5" t="s">
        <v>31</v>
      </c>
      <c r="P218" s="5" t="s">
        <v>31</v>
      </c>
      <c r="Q218" s="5" t="s">
        <v>31</v>
      </c>
      <c r="R218" s="5" t="s">
        <v>31</v>
      </c>
      <c r="S218" s="5" t="s">
        <v>31</v>
      </c>
      <c r="T218" s="5" t="s">
        <v>31</v>
      </c>
      <c r="U218" s="5"/>
      <c r="V218" s="5"/>
      <c r="W218" s="5"/>
      <c r="X218" s="5"/>
    </row>
    <row r="219" spans="1:24" s="4" customFormat="1" x14ac:dyDescent="0.2">
      <c r="A219" t="s">
        <v>515</v>
      </c>
      <c r="B219" t="s">
        <v>516</v>
      </c>
      <c r="C219" t="s">
        <v>480</v>
      </c>
      <c r="D219" t="s">
        <v>27</v>
      </c>
      <c r="E219" s="22" t="s">
        <v>28</v>
      </c>
      <c r="F219" s="4" t="s">
        <v>514</v>
      </c>
      <c r="G219" s="5">
        <f>COUNTIFS(TableFA21324[Project],TableFA21324[[#This Row],[Project]],TableFA21324[Program],TableFA21324[[#This Row],[Program]])</f>
        <v>5</v>
      </c>
      <c r="H219" s="5">
        <f>COUNTIFS(TableFA21324[Project],TableFA21324[[#This Row],[Project]])</f>
        <v>5</v>
      </c>
      <c r="K219" s="4" t="s">
        <v>31</v>
      </c>
      <c r="L219" s="4" t="s">
        <v>31</v>
      </c>
      <c r="M219" s="4" t="s">
        <v>31</v>
      </c>
      <c r="N219" s="4" t="s">
        <v>31</v>
      </c>
      <c r="O219" s="4" t="s">
        <v>31</v>
      </c>
      <c r="P219" s="4" t="s">
        <v>31</v>
      </c>
      <c r="Q219" s="4" t="s">
        <v>31</v>
      </c>
      <c r="R219" s="4" t="s">
        <v>31</v>
      </c>
      <c r="S219" s="4" t="s">
        <v>31</v>
      </c>
      <c r="T219" s="4" t="s">
        <v>31</v>
      </c>
    </row>
    <row r="220" spans="1:24" s="4" customFormat="1" x14ac:dyDescent="0.2">
      <c r="A220" t="s">
        <v>517</v>
      </c>
      <c r="B220" t="s">
        <v>518</v>
      </c>
      <c r="C220" t="s">
        <v>480</v>
      </c>
      <c r="D220" t="s">
        <v>27</v>
      </c>
      <c r="E220" s="22" t="s">
        <v>28</v>
      </c>
      <c r="F220" s="4" t="s">
        <v>514</v>
      </c>
      <c r="G220" s="5">
        <f>COUNTIFS(TableFA21324[Project],TableFA21324[[#This Row],[Project]],TableFA21324[Program],TableFA21324[[#This Row],[Program]])</f>
        <v>5</v>
      </c>
      <c r="H220" s="5">
        <f>COUNTIFS(TableFA21324[Project],TableFA21324[[#This Row],[Project]])</f>
        <v>5</v>
      </c>
      <c r="K220" s="4" t="s">
        <v>31</v>
      </c>
      <c r="L220" s="4" t="s">
        <v>31</v>
      </c>
      <c r="M220" s="4" t="s">
        <v>31</v>
      </c>
      <c r="N220" s="4" t="s">
        <v>31</v>
      </c>
      <c r="O220" s="4" t="s">
        <v>31</v>
      </c>
      <c r="P220" s="4" t="s">
        <v>31</v>
      </c>
      <c r="Q220" s="4" t="s">
        <v>31</v>
      </c>
      <c r="R220" s="4" t="s">
        <v>31</v>
      </c>
      <c r="S220" s="4" t="s">
        <v>31</v>
      </c>
      <c r="T220" s="4" t="s">
        <v>31</v>
      </c>
    </row>
    <row r="221" spans="1:24" s="4" customFormat="1" x14ac:dyDescent="0.2">
      <c r="A221" t="s">
        <v>519</v>
      </c>
      <c r="B221" t="s">
        <v>520</v>
      </c>
      <c r="C221" t="s">
        <v>480</v>
      </c>
      <c r="D221" t="s">
        <v>27</v>
      </c>
      <c r="E221" s="22" t="s">
        <v>28</v>
      </c>
      <c r="F221" s="4" t="s">
        <v>514</v>
      </c>
      <c r="G221" s="5">
        <f>COUNTIFS(TableFA21324[Project],TableFA21324[[#This Row],[Project]],TableFA21324[Program],TableFA21324[[#This Row],[Program]])</f>
        <v>5</v>
      </c>
      <c r="H221" s="5">
        <f>COUNTIFS(TableFA21324[Project],TableFA21324[[#This Row],[Project]])</f>
        <v>5</v>
      </c>
      <c r="K221" s="4" t="s">
        <v>31</v>
      </c>
      <c r="L221" s="4" t="s">
        <v>31</v>
      </c>
      <c r="M221" s="4" t="s">
        <v>31</v>
      </c>
      <c r="N221" s="4" t="s">
        <v>31</v>
      </c>
      <c r="O221" s="4" t="s">
        <v>31</v>
      </c>
      <c r="P221" s="4" t="s">
        <v>31</v>
      </c>
      <c r="Q221" s="4" t="s">
        <v>31</v>
      </c>
      <c r="R221" s="4" t="s">
        <v>31</v>
      </c>
      <c r="S221" s="4" t="s">
        <v>31</v>
      </c>
      <c r="T221" s="4" t="s">
        <v>31</v>
      </c>
    </row>
    <row r="222" spans="1:24" s="4" customFormat="1" x14ac:dyDescent="0.2">
      <c r="A222" t="s">
        <v>521</v>
      </c>
      <c r="B222" s="4" t="s">
        <v>522</v>
      </c>
      <c r="C222" s="4" t="s">
        <v>480</v>
      </c>
      <c r="D222" s="3" t="s">
        <v>27</v>
      </c>
      <c r="E222" s="22" t="s">
        <v>28</v>
      </c>
      <c r="F222" s="4" t="s">
        <v>514</v>
      </c>
      <c r="G222" s="5">
        <f>COUNTIFS(TableFA21324[Project],TableFA21324[[#This Row],[Project]],TableFA21324[Program],TableFA21324[[#This Row],[Program]])</f>
        <v>5</v>
      </c>
      <c r="H222" s="5">
        <f>COUNTIFS(TableFA21324[Project],TableFA21324[[#This Row],[Project]])</f>
        <v>5</v>
      </c>
      <c r="K222" s="4" t="s">
        <v>31</v>
      </c>
      <c r="L222" s="4" t="s">
        <v>31</v>
      </c>
      <c r="M222" s="4" t="s">
        <v>31</v>
      </c>
      <c r="N222" s="4" t="s">
        <v>31</v>
      </c>
      <c r="O222" s="4" t="s">
        <v>31</v>
      </c>
      <c r="P222" s="4" t="s">
        <v>31</v>
      </c>
      <c r="Q222" s="4" t="s">
        <v>31</v>
      </c>
      <c r="R222" s="4" t="s">
        <v>31</v>
      </c>
      <c r="S222" s="4" t="s">
        <v>91</v>
      </c>
      <c r="T222" s="4" t="s">
        <v>31</v>
      </c>
    </row>
    <row r="223" spans="1:24" s="4" customFormat="1" x14ac:dyDescent="0.2">
      <c r="A223" s="20" t="s">
        <v>523</v>
      </c>
      <c r="B223" s="20" t="s">
        <v>524</v>
      </c>
      <c r="C223" s="20" t="s">
        <v>480</v>
      </c>
      <c r="D223" s="20" t="s">
        <v>54</v>
      </c>
      <c r="E223" s="22" t="s">
        <v>28</v>
      </c>
      <c r="F223" s="5" t="s">
        <v>525</v>
      </c>
      <c r="G223" s="5">
        <f>COUNTIFS(TableFA21324[Project],TableFA21324[[#This Row],[Project]],TableFA21324[Program],TableFA21324[[#This Row],[Program]])</f>
        <v>5</v>
      </c>
      <c r="H223" s="5">
        <f>COUNTIFS(TableFA21324[Project],TableFA21324[[#This Row],[Project]])</f>
        <v>5</v>
      </c>
      <c r="I223" s="5" t="s">
        <v>30</v>
      </c>
      <c r="K223" s="4" t="s">
        <v>31</v>
      </c>
      <c r="L223" s="4" t="s">
        <v>31</v>
      </c>
      <c r="M223" s="4" t="s">
        <v>31</v>
      </c>
      <c r="N223" s="4" t="s">
        <v>31</v>
      </c>
      <c r="O223" s="4" t="s">
        <v>31</v>
      </c>
      <c r="P223" s="4" t="s">
        <v>31</v>
      </c>
      <c r="Q223" s="4" t="s">
        <v>31</v>
      </c>
      <c r="R223" s="4" t="s">
        <v>31</v>
      </c>
      <c r="S223" s="4" t="s">
        <v>31</v>
      </c>
      <c r="T223" s="4" t="s">
        <v>31</v>
      </c>
      <c r="U223" s="4" t="s">
        <v>31</v>
      </c>
      <c r="V223" s="4" t="s">
        <v>31</v>
      </c>
      <c r="W223" s="4" t="s">
        <v>31</v>
      </c>
      <c r="X223" s="4" t="s">
        <v>31</v>
      </c>
    </row>
    <row r="224" spans="1:24" s="4" customFormat="1" x14ac:dyDescent="0.2">
      <c r="A224" t="s">
        <v>526</v>
      </c>
      <c r="B224" t="s">
        <v>527</v>
      </c>
      <c r="C224" t="s">
        <v>480</v>
      </c>
      <c r="D224" t="s">
        <v>54</v>
      </c>
      <c r="E224" s="22" t="s">
        <v>28</v>
      </c>
      <c r="F224" s="4" t="s">
        <v>525</v>
      </c>
      <c r="G224" s="5">
        <f>COUNTIFS(TableFA21324[Project],TableFA21324[[#This Row],[Project]],TableFA21324[Program],TableFA21324[[#This Row],[Program]])</f>
        <v>5</v>
      </c>
      <c r="H224" s="5">
        <f>COUNTIFS(TableFA21324[Project],TableFA21324[[#This Row],[Project]])</f>
        <v>5</v>
      </c>
    </row>
    <row r="225" spans="1:24" s="4" customFormat="1" x14ac:dyDescent="0.2">
      <c r="A225" t="s">
        <v>528</v>
      </c>
      <c r="B225" t="s">
        <v>529</v>
      </c>
      <c r="C225" t="s">
        <v>480</v>
      </c>
      <c r="D225" t="s">
        <v>54</v>
      </c>
      <c r="E225" s="22" t="s">
        <v>28</v>
      </c>
      <c r="F225" s="4" t="s">
        <v>525</v>
      </c>
      <c r="G225" s="5">
        <f>COUNTIFS(TableFA21324[Project],TableFA21324[[#This Row],[Project]],TableFA21324[Program],TableFA21324[[#This Row],[Program]])</f>
        <v>5</v>
      </c>
      <c r="H225" s="5">
        <f>COUNTIFS(TableFA21324[Project],TableFA21324[[#This Row],[Project]])</f>
        <v>5</v>
      </c>
    </row>
    <row r="226" spans="1:24" s="4" customFormat="1" x14ac:dyDescent="0.2">
      <c r="A226" t="s">
        <v>530</v>
      </c>
      <c r="B226" t="s">
        <v>531</v>
      </c>
      <c r="C226" t="s">
        <v>480</v>
      </c>
      <c r="D226" t="s">
        <v>54</v>
      </c>
      <c r="E226" s="22" t="s">
        <v>28</v>
      </c>
      <c r="F226" s="4" t="s">
        <v>525</v>
      </c>
      <c r="G226" s="5">
        <f>COUNTIFS(TableFA21324[Project],TableFA21324[[#This Row],[Project]],TableFA21324[Program],TableFA21324[[#This Row],[Program]])</f>
        <v>5</v>
      </c>
      <c r="H226" s="5">
        <f>COUNTIFS(TableFA21324[Project],TableFA21324[[#This Row],[Project]])</f>
        <v>5</v>
      </c>
    </row>
    <row r="227" spans="1:24" s="4" customFormat="1" x14ac:dyDescent="0.2">
      <c r="A227" t="s">
        <v>532</v>
      </c>
      <c r="B227" t="s">
        <v>533</v>
      </c>
      <c r="C227" t="s">
        <v>480</v>
      </c>
      <c r="D227" t="s">
        <v>54</v>
      </c>
      <c r="E227" s="22" t="s">
        <v>28</v>
      </c>
      <c r="F227" s="4" t="s">
        <v>525</v>
      </c>
      <c r="G227" s="5">
        <f>COUNTIFS(TableFA21324[Project],TableFA21324[[#This Row],[Project]],TableFA21324[Program],TableFA21324[[#This Row],[Program]])</f>
        <v>5</v>
      </c>
      <c r="H227" s="5">
        <f>COUNTIFS(TableFA21324[Project],TableFA21324[[#This Row],[Project]])</f>
        <v>5</v>
      </c>
    </row>
    <row r="228" spans="1:24" s="4" customFormat="1" x14ac:dyDescent="0.2">
      <c r="A228" s="20" t="s">
        <v>534</v>
      </c>
      <c r="B228" s="5" t="s">
        <v>535</v>
      </c>
      <c r="C228" s="5" t="s">
        <v>480</v>
      </c>
      <c r="D228" s="20" t="s">
        <v>54</v>
      </c>
      <c r="E228" s="22" t="s">
        <v>28</v>
      </c>
      <c r="F228" s="5" t="s">
        <v>536</v>
      </c>
      <c r="G228" s="5">
        <f>COUNTIFS(TableFA21324[Project],TableFA21324[[#This Row],[Project]],TableFA21324[Program],TableFA21324[[#This Row],[Program]])</f>
        <v>5</v>
      </c>
      <c r="H228" s="5">
        <f>COUNTIFS(TableFA21324[Project],TableFA21324[[#This Row],[Project]])</f>
        <v>5</v>
      </c>
      <c r="I228" s="8" t="s">
        <v>30</v>
      </c>
      <c r="K228" s="4" t="s">
        <v>31</v>
      </c>
      <c r="L228" s="4" t="s">
        <v>31</v>
      </c>
      <c r="M228" s="4" t="s">
        <v>31</v>
      </c>
      <c r="N228" s="4" t="s">
        <v>31</v>
      </c>
      <c r="O228" s="4" t="s">
        <v>31</v>
      </c>
      <c r="P228" s="4" t="s">
        <v>31</v>
      </c>
      <c r="Q228" s="4" t="s">
        <v>31</v>
      </c>
      <c r="R228" s="4" t="s">
        <v>31</v>
      </c>
      <c r="S228" s="4" t="s">
        <v>31</v>
      </c>
      <c r="T228" s="4" t="s">
        <v>31</v>
      </c>
      <c r="U228" s="4" t="s">
        <v>31</v>
      </c>
      <c r="V228" s="4" t="s">
        <v>31</v>
      </c>
      <c r="W228" s="4" t="s">
        <v>31</v>
      </c>
    </row>
    <row r="229" spans="1:24" s="4" customFormat="1" x14ac:dyDescent="0.2">
      <c r="A229" t="s">
        <v>537</v>
      </c>
      <c r="B229" t="s">
        <v>538</v>
      </c>
      <c r="C229" t="s">
        <v>480</v>
      </c>
      <c r="D229" t="s">
        <v>54</v>
      </c>
      <c r="E229" s="22" t="s">
        <v>28</v>
      </c>
      <c r="F229" s="4" t="s">
        <v>536</v>
      </c>
      <c r="G229" s="5">
        <f>COUNTIFS(TableFA21324[Project],TableFA21324[[#This Row],[Project]],TableFA21324[Program],TableFA21324[[#This Row],[Program]])</f>
        <v>5</v>
      </c>
      <c r="H229" s="5">
        <f>COUNTIFS(TableFA21324[Project],TableFA21324[[#This Row],[Project]])</f>
        <v>5</v>
      </c>
      <c r="K229" s="4" t="s">
        <v>31</v>
      </c>
      <c r="L229" s="4" t="s">
        <v>31</v>
      </c>
      <c r="M229" s="4" t="s">
        <v>31</v>
      </c>
      <c r="N229" s="4" t="s">
        <v>31</v>
      </c>
      <c r="O229" s="4" t="s">
        <v>31</v>
      </c>
      <c r="P229" s="4" t="s">
        <v>31</v>
      </c>
      <c r="Q229" s="4" t="s">
        <v>31</v>
      </c>
      <c r="R229" s="4" t="s">
        <v>31</v>
      </c>
      <c r="S229" s="4" t="s">
        <v>31</v>
      </c>
      <c r="T229" s="4" t="s">
        <v>31</v>
      </c>
      <c r="U229" s="4" t="s">
        <v>31</v>
      </c>
      <c r="V229" s="4" t="s">
        <v>31</v>
      </c>
      <c r="W229" s="4" t="s">
        <v>31</v>
      </c>
    </row>
    <row r="230" spans="1:24" s="4" customFormat="1" x14ac:dyDescent="0.2">
      <c r="A230" t="s">
        <v>539</v>
      </c>
      <c r="B230" t="s">
        <v>540</v>
      </c>
      <c r="C230" t="s">
        <v>480</v>
      </c>
      <c r="D230" t="s">
        <v>54</v>
      </c>
      <c r="E230" s="22" t="s">
        <v>28</v>
      </c>
      <c r="F230" s="4" t="s">
        <v>536</v>
      </c>
      <c r="G230" s="5">
        <f>COUNTIFS(TableFA21324[Project],TableFA21324[[#This Row],[Project]],TableFA21324[Program],TableFA21324[[#This Row],[Program]])</f>
        <v>5</v>
      </c>
      <c r="H230" s="5">
        <f>COUNTIFS(TableFA21324[Project],TableFA21324[[#This Row],[Project]])</f>
        <v>5</v>
      </c>
      <c r="K230" s="4" t="s">
        <v>31</v>
      </c>
      <c r="L230" s="4" t="s">
        <v>31</v>
      </c>
      <c r="M230" s="4" t="s">
        <v>31</v>
      </c>
      <c r="N230" s="4" t="s">
        <v>31</v>
      </c>
      <c r="O230" s="4" t="s">
        <v>31</v>
      </c>
      <c r="P230" s="4" t="s">
        <v>31</v>
      </c>
      <c r="Q230" s="4" t="s">
        <v>31</v>
      </c>
      <c r="R230" s="4" t="s">
        <v>31</v>
      </c>
      <c r="S230" s="4" t="s">
        <v>31</v>
      </c>
      <c r="T230" s="4" t="s">
        <v>31</v>
      </c>
      <c r="U230" s="4" t="s">
        <v>31</v>
      </c>
      <c r="V230" s="4" t="s">
        <v>31</v>
      </c>
      <c r="W230" s="4" t="s">
        <v>31</v>
      </c>
    </row>
    <row r="231" spans="1:24" s="4" customFormat="1" x14ac:dyDescent="0.2">
      <c r="A231" t="s">
        <v>541</v>
      </c>
      <c r="B231" t="s">
        <v>542</v>
      </c>
      <c r="C231" t="s">
        <v>480</v>
      </c>
      <c r="D231" t="s">
        <v>54</v>
      </c>
      <c r="E231" s="22" t="s">
        <v>28</v>
      </c>
      <c r="F231" s="4" t="s">
        <v>536</v>
      </c>
      <c r="G231" s="5">
        <f>COUNTIFS(TableFA21324[Project],TableFA21324[[#This Row],[Project]],TableFA21324[Program],TableFA21324[[#This Row],[Program]])</f>
        <v>5</v>
      </c>
      <c r="H231" s="5">
        <f>COUNTIFS(TableFA21324[Project],TableFA21324[[#This Row],[Project]])</f>
        <v>5</v>
      </c>
      <c r="K231" s="4" t="s">
        <v>31</v>
      </c>
      <c r="L231" s="4" t="s">
        <v>31</v>
      </c>
      <c r="M231" s="4" t="s">
        <v>31</v>
      </c>
      <c r="N231" s="4" t="s">
        <v>31</v>
      </c>
      <c r="O231" s="4" t="s">
        <v>31</v>
      </c>
      <c r="P231" s="4" t="s">
        <v>31</v>
      </c>
      <c r="Q231" s="4" t="s">
        <v>31</v>
      </c>
      <c r="R231" s="4" t="s">
        <v>31</v>
      </c>
      <c r="S231" s="4" t="s">
        <v>31</v>
      </c>
      <c r="T231" s="4" t="s">
        <v>31</v>
      </c>
      <c r="U231" s="4" t="s">
        <v>31</v>
      </c>
      <c r="V231" s="4" t="s">
        <v>31</v>
      </c>
      <c r="W231" s="4" t="s">
        <v>31</v>
      </c>
    </row>
    <row r="232" spans="1:24" s="4" customFormat="1" x14ac:dyDescent="0.2">
      <c r="A232" t="s">
        <v>543</v>
      </c>
      <c r="B232" t="s">
        <v>544</v>
      </c>
      <c r="C232" t="s">
        <v>480</v>
      </c>
      <c r="D232" t="s">
        <v>54</v>
      </c>
      <c r="E232" s="22" t="s">
        <v>28</v>
      </c>
      <c r="F232" s="4" t="s">
        <v>536</v>
      </c>
      <c r="G232" s="5">
        <f>COUNTIFS(TableFA21324[Project],TableFA21324[[#This Row],[Project]],TableFA21324[Program],TableFA21324[[#This Row],[Program]])</f>
        <v>5</v>
      </c>
      <c r="H232" s="5">
        <f>COUNTIFS(TableFA21324[Project],TableFA21324[[#This Row],[Project]])</f>
        <v>5</v>
      </c>
      <c r="K232" s="4" t="s">
        <v>31</v>
      </c>
      <c r="L232" s="4" t="s">
        <v>31</v>
      </c>
      <c r="M232" s="4" t="s">
        <v>31</v>
      </c>
      <c r="N232" s="4" t="s">
        <v>31</v>
      </c>
      <c r="O232" s="4" t="s">
        <v>31</v>
      </c>
      <c r="P232" s="4" t="s">
        <v>31</v>
      </c>
      <c r="Q232" s="4" t="s">
        <v>31</v>
      </c>
      <c r="R232" s="4" t="s">
        <v>31</v>
      </c>
      <c r="S232" s="4" t="s">
        <v>31</v>
      </c>
      <c r="T232" s="4" t="s">
        <v>31</v>
      </c>
      <c r="U232" s="4" t="s">
        <v>31</v>
      </c>
      <c r="V232" s="4" t="s">
        <v>31</v>
      </c>
      <c r="W232" s="4" t="s">
        <v>31</v>
      </c>
    </row>
    <row r="233" spans="1:24" s="4" customFormat="1" x14ac:dyDescent="0.2">
      <c r="A233" s="20" t="s">
        <v>545</v>
      </c>
      <c r="B233" s="20" t="s">
        <v>546</v>
      </c>
      <c r="C233" s="20" t="s">
        <v>480</v>
      </c>
      <c r="D233" s="20" t="s">
        <v>27</v>
      </c>
      <c r="E233" s="22" t="s">
        <v>28</v>
      </c>
      <c r="F233" s="5" t="s">
        <v>547</v>
      </c>
      <c r="G233" s="5">
        <f>COUNTIFS(TableFA21324[Project],TableFA21324[[#This Row],[Project]],TableFA21324[Program],TableFA21324[[#This Row],[Program]])</f>
        <v>5</v>
      </c>
      <c r="H233" s="5">
        <f>COUNTIFS(TableFA21324[Project],TableFA21324[[#This Row],[Project]])</f>
        <v>5</v>
      </c>
      <c r="I233" s="5" t="s">
        <v>30</v>
      </c>
      <c r="J233" s="5"/>
      <c r="K233" s="4" t="s">
        <v>31</v>
      </c>
      <c r="L233" s="4" t="s">
        <v>31</v>
      </c>
      <c r="M233" s="5" t="s">
        <v>31</v>
      </c>
      <c r="N233" s="5" t="s">
        <v>31</v>
      </c>
      <c r="O233" s="5" t="s">
        <v>31</v>
      </c>
      <c r="P233" s="5" t="s">
        <v>31</v>
      </c>
      <c r="Q233" s="5" t="s">
        <v>31</v>
      </c>
      <c r="R233" s="5" t="s">
        <v>31</v>
      </c>
      <c r="S233" s="5" t="s">
        <v>31</v>
      </c>
      <c r="T233" s="5" t="s">
        <v>31</v>
      </c>
      <c r="U233" s="5" t="s">
        <v>31</v>
      </c>
      <c r="V233" s="5" t="s">
        <v>31</v>
      </c>
      <c r="W233" s="5" t="s">
        <v>31</v>
      </c>
      <c r="X233" s="5" t="s">
        <v>31</v>
      </c>
    </row>
    <row r="234" spans="1:24" s="4" customFormat="1" x14ac:dyDescent="0.2">
      <c r="A234" s="4" t="s">
        <v>548</v>
      </c>
      <c r="B234" s="4" t="s">
        <v>549</v>
      </c>
      <c r="C234" s="4" t="s">
        <v>480</v>
      </c>
      <c r="D234" t="s">
        <v>27</v>
      </c>
      <c r="E234" s="22" t="s">
        <v>28</v>
      </c>
      <c r="F234" s="4" t="s">
        <v>547</v>
      </c>
      <c r="G234" s="5">
        <f>COUNTIFS(TableFA21324[Project],TableFA21324[[#This Row],[Project]],TableFA21324[Program],TableFA21324[[#This Row],[Program]])</f>
        <v>5</v>
      </c>
      <c r="H234" s="5">
        <f>COUNTIFS(TableFA21324[Project],TableFA21324[[#This Row],[Project]])</f>
        <v>5</v>
      </c>
      <c r="K234" s="4" t="s">
        <v>31</v>
      </c>
      <c r="L234" s="4" t="s">
        <v>31</v>
      </c>
      <c r="M234" s="4" t="s">
        <v>31</v>
      </c>
      <c r="N234" s="4" t="s">
        <v>31</v>
      </c>
      <c r="O234" s="4" t="s">
        <v>31</v>
      </c>
      <c r="P234" s="4" t="s">
        <v>31</v>
      </c>
      <c r="Q234" s="4" t="s">
        <v>31</v>
      </c>
      <c r="R234" s="4" t="s">
        <v>31</v>
      </c>
      <c r="S234" s="4" t="s">
        <v>31</v>
      </c>
      <c r="T234" s="4" t="s">
        <v>31</v>
      </c>
      <c r="U234" s="4" t="s">
        <v>31</v>
      </c>
      <c r="V234" s="4" t="s">
        <v>31</v>
      </c>
      <c r="W234" s="4" t="s">
        <v>31</v>
      </c>
      <c r="X234" s="4" t="s">
        <v>31</v>
      </c>
    </row>
    <row r="235" spans="1:24" s="4" customFormat="1" x14ac:dyDescent="0.2">
      <c r="A235" t="s">
        <v>550</v>
      </c>
      <c r="B235" t="s">
        <v>551</v>
      </c>
      <c r="C235" t="s">
        <v>480</v>
      </c>
      <c r="D235" t="s">
        <v>27</v>
      </c>
      <c r="E235" s="22" t="s">
        <v>28</v>
      </c>
      <c r="F235" s="4" t="s">
        <v>547</v>
      </c>
      <c r="G235" s="5">
        <f>COUNTIFS(TableFA21324[Project],TableFA21324[[#This Row],[Project]],TableFA21324[Program],TableFA21324[[#This Row],[Program]])</f>
        <v>5</v>
      </c>
      <c r="H235" s="5">
        <f>COUNTIFS(TableFA21324[Project],TableFA21324[[#This Row],[Project]])</f>
        <v>5</v>
      </c>
      <c r="K235" s="4" t="s">
        <v>31</v>
      </c>
      <c r="L235" s="4" t="s">
        <v>31</v>
      </c>
      <c r="M235" s="4" t="s">
        <v>31</v>
      </c>
      <c r="N235" s="4" t="s">
        <v>31</v>
      </c>
      <c r="O235" s="4" t="s">
        <v>31</v>
      </c>
      <c r="P235" s="4" t="s">
        <v>31</v>
      </c>
      <c r="Q235" s="4" t="s">
        <v>31</v>
      </c>
      <c r="R235" s="4" t="s">
        <v>31</v>
      </c>
      <c r="S235" s="4" t="s">
        <v>31</v>
      </c>
      <c r="T235" s="4" t="s">
        <v>31</v>
      </c>
      <c r="U235" s="4" t="s">
        <v>31</v>
      </c>
      <c r="V235" s="4" t="s">
        <v>31</v>
      </c>
      <c r="W235" s="4" t="s">
        <v>31</v>
      </c>
      <c r="X235" s="4" t="s">
        <v>31</v>
      </c>
    </row>
    <row r="236" spans="1:24" s="4" customFormat="1" x14ac:dyDescent="0.2">
      <c r="A236" t="s">
        <v>552</v>
      </c>
      <c r="B236" t="s">
        <v>553</v>
      </c>
      <c r="C236" t="s">
        <v>480</v>
      </c>
      <c r="D236" t="s">
        <v>27</v>
      </c>
      <c r="E236" s="22" t="s">
        <v>28</v>
      </c>
      <c r="F236" s="4" t="s">
        <v>547</v>
      </c>
      <c r="G236" s="5">
        <f>COUNTIFS(TableFA21324[Project],TableFA21324[[#This Row],[Project]],TableFA21324[Program],TableFA21324[[#This Row],[Program]])</f>
        <v>5</v>
      </c>
      <c r="H236" s="5">
        <f>COUNTIFS(TableFA21324[Project],TableFA21324[[#This Row],[Project]])</f>
        <v>5</v>
      </c>
      <c r="K236" s="4" t="s">
        <v>31</v>
      </c>
      <c r="L236" s="4" t="s">
        <v>31</v>
      </c>
      <c r="M236" s="4" t="s">
        <v>31</v>
      </c>
      <c r="N236" s="4" t="s">
        <v>31</v>
      </c>
      <c r="O236" s="4" t="s">
        <v>31</v>
      </c>
      <c r="P236" s="4" t="s">
        <v>31</v>
      </c>
      <c r="Q236" s="4" t="s">
        <v>31</v>
      </c>
      <c r="R236" s="4" t="s">
        <v>31</v>
      </c>
      <c r="S236" s="4" t="s">
        <v>31</v>
      </c>
      <c r="T236" s="4" t="s">
        <v>31</v>
      </c>
      <c r="U236" s="4" t="s">
        <v>31</v>
      </c>
      <c r="V236" s="4" t="s">
        <v>31</v>
      </c>
      <c r="W236" s="4" t="s">
        <v>31</v>
      </c>
      <c r="X236" s="4" t="s">
        <v>31</v>
      </c>
    </row>
    <row r="237" spans="1:24" s="4" customFormat="1" x14ac:dyDescent="0.2">
      <c r="A237" t="s">
        <v>554</v>
      </c>
      <c r="B237" t="s">
        <v>555</v>
      </c>
      <c r="C237" t="s">
        <v>480</v>
      </c>
      <c r="D237" t="s">
        <v>27</v>
      </c>
      <c r="E237" s="22" t="s">
        <v>28</v>
      </c>
      <c r="F237" s="4" t="s">
        <v>547</v>
      </c>
      <c r="G237" s="5">
        <f>COUNTIFS(TableFA21324[Project],TableFA21324[[#This Row],[Project]],TableFA21324[Program],TableFA21324[[#This Row],[Program]])</f>
        <v>5</v>
      </c>
      <c r="H237" s="5">
        <f>COUNTIFS(TableFA21324[Project],TableFA21324[[#This Row],[Project]])</f>
        <v>5</v>
      </c>
      <c r="K237" s="4" t="s">
        <v>31</v>
      </c>
      <c r="L237" s="4" t="s">
        <v>31</v>
      </c>
      <c r="M237" s="4" t="s">
        <v>31</v>
      </c>
      <c r="N237" s="4" t="s">
        <v>31</v>
      </c>
      <c r="O237" s="4" t="s">
        <v>31</v>
      </c>
      <c r="P237" s="4" t="s">
        <v>31</v>
      </c>
      <c r="Q237" s="4" t="s">
        <v>31</v>
      </c>
      <c r="R237" s="4" t="s">
        <v>31</v>
      </c>
      <c r="S237" s="4" t="s">
        <v>31</v>
      </c>
      <c r="T237" s="4" t="s">
        <v>31</v>
      </c>
      <c r="U237" s="4" t="s">
        <v>31</v>
      </c>
      <c r="V237" s="4" t="s">
        <v>31</v>
      </c>
      <c r="W237" s="4" t="s">
        <v>31</v>
      </c>
      <c r="X237" s="4" t="s">
        <v>31</v>
      </c>
    </row>
    <row r="238" spans="1:24" s="4" customFormat="1" x14ac:dyDescent="0.2">
      <c r="A238" t="s">
        <v>556</v>
      </c>
      <c r="B238" t="s">
        <v>557</v>
      </c>
      <c r="C238" t="s">
        <v>480</v>
      </c>
      <c r="D238" t="s">
        <v>54</v>
      </c>
      <c r="E238" s="22" t="s">
        <v>28</v>
      </c>
      <c r="F238" s="4" t="s">
        <v>558</v>
      </c>
      <c r="G238" s="5">
        <f>COUNTIFS(TableFA21324[Project],TableFA21324[[#This Row],[Project]],TableFA21324[Program],TableFA21324[[#This Row],[Program]])</f>
        <v>5</v>
      </c>
      <c r="H238" s="5">
        <f>COUNTIFS(TableFA21324[Project],TableFA21324[[#This Row],[Project]])</f>
        <v>5</v>
      </c>
      <c r="I238" s="8" t="s">
        <v>30</v>
      </c>
      <c r="K238" s="4" t="s">
        <v>31</v>
      </c>
      <c r="L238" s="4" t="s">
        <v>31</v>
      </c>
      <c r="M238" s="4" t="s">
        <v>31</v>
      </c>
      <c r="N238" s="4" t="s">
        <v>31</v>
      </c>
      <c r="O238" s="4" t="s">
        <v>31</v>
      </c>
      <c r="P238" s="4" t="s">
        <v>31</v>
      </c>
      <c r="Q238" s="4" t="s">
        <v>31</v>
      </c>
      <c r="R238" s="4" t="s">
        <v>31</v>
      </c>
      <c r="S238" s="4" t="s">
        <v>31</v>
      </c>
      <c r="T238" s="4" t="s">
        <v>31</v>
      </c>
      <c r="U238" s="4" t="s">
        <v>31</v>
      </c>
      <c r="V238" s="4" t="s">
        <v>31</v>
      </c>
      <c r="W238" s="4" t="s">
        <v>31</v>
      </c>
      <c r="X238" s="4" t="s">
        <v>31</v>
      </c>
    </row>
    <row r="239" spans="1:24" s="4" customFormat="1" x14ac:dyDescent="0.2">
      <c r="A239" t="s">
        <v>559</v>
      </c>
      <c r="B239" t="s">
        <v>560</v>
      </c>
      <c r="C239" t="s">
        <v>480</v>
      </c>
      <c r="D239" t="s">
        <v>54</v>
      </c>
      <c r="E239" s="22" t="s">
        <v>28</v>
      </c>
      <c r="F239" s="4" t="s">
        <v>558</v>
      </c>
      <c r="G239" s="5">
        <f>COUNTIFS(TableFA21324[Project],TableFA21324[[#This Row],[Project]],TableFA21324[Program],TableFA21324[[#This Row],[Program]])</f>
        <v>5</v>
      </c>
      <c r="H239" s="5">
        <f>COUNTIFS(TableFA21324[Project],TableFA21324[[#This Row],[Project]])</f>
        <v>5</v>
      </c>
      <c r="K239" s="4" t="s">
        <v>31</v>
      </c>
      <c r="L239" s="4" t="s">
        <v>31</v>
      </c>
      <c r="M239" s="4" t="s">
        <v>31</v>
      </c>
      <c r="N239" s="4" t="s">
        <v>31</v>
      </c>
      <c r="O239" s="4" t="s">
        <v>31</v>
      </c>
      <c r="P239" s="4" t="s">
        <v>31</v>
      </c>
      <c r="Q239" s="4" t="s">
        <v>31</v>
      </c>
      <c r="R239" s="4" t="s">
        <v>31</v>
      </c>
      <c r="S239" s="4" t="s">
        <v>31</v>
      </c>
      <c r="T239" s="4" t="s">
        <v>31</v>
      </c>
      <c r="U239" s="4" t="s">
        <v>31</v>
      </c>
      <c r="V239" s="4" t="s">
        <v>31</v>
      </c>
      <c r="W239" s="4" t="s">
        <v>31</v>
      </c>
      <c r="X239" s="4" t="s">
        <v>31</v>
      </c>
    </row>
    <row r="240" spans="1:24" s="4" customFormat="1" x14ac:dyDescent="0.2">
      <c r="A240" t="s">
        <v>561</v>
      </c>
      <c r="B240" t="s">
        <v>562</v>
      </c>
      <c r="C240" t="s">
        <v>480</v>
      </c>
      <c r="D240" t="s">
        <v>27</v>
      </c>
      <c r="E240" s="22" t="s">
        <v>28</v>
      </c>
      <c r="F240" s="4" t="s">
        <v>558</v>
      </c>
      <c r="G240" s="5">
        <f>COUNTIFS(TableFA21324[Project],TableFA21324[[#This Row],[Project]],TableFA21324[Program],TableFA21324[[#This Row],[Program]])</f>
        <v>5</v>
      </c>
      <c r="H240" s="5">
        <f>COUNTIFS(TableFA21324[Project],TableFA21324[[#This Row],[Project]])</f>
        <v>5</v>
      </c>
      <c r="K240" s="4" t="s">
        <v>31</v>
      </c>
      <c r="L240" s="4" t="s">
        <v>31</v>
      </c>
      <c r="M240" s="4" t="s">
        <v>31</v>
      </c>
      <c r="N240" s="4" t="s">
        <v>31</v>
      </c>
      <c r="O240" s="4" t="s">
        <v>31</v>
      </c>
      <c r="P240" s="4" t="s">
        <v>31</v>
      </c>
      <c r="Q240" s="4" t="s">
        <v>31</v>
      </c>
      <c r="R240" s="4" t="s">
        <v>31</v>
      </c>
      <c r="S240" s="4" t="s">
        <v>31</v>
      </c>
      <c r="T240" s="4" t="s">
        <v>31</v>
      </c>
      <c r="U240" s="4" t="s">
        <v>31</v>
      </c>
      <c r="V240" s="4" t="s">
        <v>31</v>
      </c>
      <c r="W240" s="4" t="s">
        <v>31</v>
      </c>
      <c r="X240" s="4" t="s">
        <v>31</v>
      </c>
    </row>
    <row r="241" spans="1:24" s="4" customFormat="1" ht="15" customHeight="1" x14ac:dyDescent="0.2">
      <c r="A241" s="12" t="s">
        <v>563</v>
      </c>
      <c r="B241" t="s">
        <v>564</v>
      </c>
      <c r="C241" t="s">
        <v>480</v>
      </c>
      <c r="D241" t="s">
        <v>54</v>
      </c>
      <c r="E241" s="22" t="s">
        <v>28</v>
      </c>
      <c r="F241" s="4" t="s">
        <v>558</v>
      </c>
      <c r="G241" s="5">
        <f>COUNTIFS(TableFA21324[Project],TableFA21324[[#This Row],[Project]],TableFA21324[Program],TableFA21324[[#This Row],[Program]])</f>
        <v>5</v>
      </c>
      <c r="H241" s="5">
        <f>COUNTIFS(TableFA21324[Project],TableFA21324[[#This Row],[Project]])</f>
        <v>5</v>
      </c>
      <c r="K241" s="4" t="s">
        <v>31</v>
      </c>
      <c r="L241" s="4" t="s">
        <v>31</v>
      </c>
      <c r="M241" s="4" t="s">
        <v>31</v>
      </c>
      <c r="N241" s="4" t="s">
        <v>31</v>
      </c>
      <c r="O241" s="4" t="s">
        <v>31</v>
      </c>
      <c r="P241" s="4" t="s">
        <v>31</v>
      </c>
      <c r="Q241" s="4" t="s">
        <v>31</v>
      </c>
      <c r="R241" s="4" t="s">
        <v>31</v>
      </c>
      <c r="S241" s="4" t="s">
        <v>31</v>
      </c>
      <c r="T241" s="4" t="s">
        <v>31</v>
      </c>
      <c r="U241" s="4" t="s">
        <v>31</v>
      </c>
      <c r="V241" s="4" t="s">
        <v>31</v>
      </c>
      <c r="W241" s="4" t="s">
        <v>31</v>
      </c>
      <c r="X241" s="4" t="s">
        <v>31</v>
      </c>
    </row>
    <row r="242" spans="1:24" s="4" customFormat="1" x14ac:dyDescent="0.2">
      <c r="A242" t="s">
        <v>565</v>
      </c>
      <c r="B242" t="s">
        <v>566</v>
      </c>
      <c r="C242" t="s">
        <v>480</v>
      </c>
      <c r="D242" t="s">
        <v>27</v>
      </c>
      <c r="E242" s="22" t="s">
        <v>28</v>
      </c>
      <c r="F242" s="6" t="s">
        <v>558</v>
      </c>
      <c r="G242" s="5">
        <f>COUNTIFS(TableFA21324[Project],TableFA21324[[#This Row],[Project]],TableFA21324[Program],TableFA21324[[#This Row],[Program]])</f>
        <v>5</v>
      </c>
      <c r="H242" s="5">
        <f>COUNTIFS(TableFA21324[Project],TableFA21324[[#This Row],[Project]])</f>
        <v>5</v>
      </c>
      <c r="K242" s="4" t="s">
        <v>31</v>
      </c>
      <c r="L242" s="4" t="s">
        <v>31</v>
      </c>
      <c r="M242" s="4" t="s">
        <v>31</v>
      </c>
      <c r="N242" s="4" t="s">
        <v>31</v>
      </c>
      <c r="O242" s="4" t="s">
        <v>31</v>
      </c>
      <c r="P242" s="4" t="s">
        <v>31</v>
      </c>
      <c r="Q242" s="4" t="s">
        <v>31</v>
      </c>
      <c r="R242" s="4" t="s">
        <v>31</v>
      </c>
      <c r="S242" s="4" t="s">
        <v>31</v>
      </c>
      <c r="T242" s="4" t="s">
        <v>31</v>
      </c>
      <c r="U242" s="4" t="s">
        <v>31</v>
      </c>
      <c r="V242" s="4" t="s">
        <v>31</v>
      </c>
      <c r="W242" s="4" t="s">
        <v>31</v>
      </c>
      <c r="X242" s="4" t="s">
        <v>31</v>
      </c>
    </row>
    <row r="243" spans="1:24" s="4" customFormat="1" x14ac:dyDescent="0.2">
      <c r="A243" s="20" t="s">
        <v>567</v>
      </c>
      <c r="B243" s="20" t="s">
        <v>568</v>
      </c>
      <c r="C243" s="20" t="s">
        <v>480</v>
      </c>
      <c r="D243" s="20" t="s">
        <v>27</v>
      </c>
      <c r="E243" s="22" t="s">
        <v>28</v>
      </c>
      <c r="F243" s="5" t="s">
        <v>569</v>
      </c>
      <c r="G243" s="5">
        <f>COUNTIFS(TableFA21324[Project],TableFA21324[[#This Row],[Project]],TableFA21324[Program],TableFA21324[[#This Row],[Program]])</f>
        <v>3</v>
      </c>
      <c r="H243" s="5">
        <f>COUNTIFS(TableFA21324[Project],TableFA21324[[#This Row],[Project]])</f>
        <v>3</v>
      </c>
      <c r="I243" s="5" t="s">
        <v>30</v>
      </c>
      <c r="K243" s="4" t="s">
        <v>31</v>
      </c>
      <c r="L243" s="4" t="s">
        <v>31</v>
      </c>
      <c r="M243" s="4" t="s">
        <v>31</v>
      </c>
      <c r="N243" s="4" t="s">
        <v>31</v>
      </c>
      <c r="O243" s="4" t="s">
        <v>31</v>
      </c>
      <c r="P243" s="4" t="s">
        <v>31</v>
      </c>
      <c r="Q243" s="4" t="s">
        <v>31</v>
      </c>
      <c r="R243" s="4" t="s">
        <v>31</v>
      </c>
    </row>
    <row r="244" spans="1:24" s="4" customFormat="1" x14ac:dyDescent="0.2">
      <c r="A244" t="s">
        <v>570</v>
      </c>
      <c r="B244" t="s">
        <v>571</v>
      </c>
      <c r="C244" t="s">
        <v>480</v>
      </c>
      <c r="D244" t="s">
        <v>27</v>
      </c>
      <c r="E244" s="22" t="s">
        <v>28</v>
      </c>
      <c r="F244" s="4" t="s">
        <v>569</v>
      </c>
      <c r="G244" s="5">
        <f>COUNTIFS(TableFA21324[Project],TableFA21324[[#This Row],[Project]],TableFA21324[Program],TableFA21324[[#This Row],[Program]])</f>
        <v>3</v>
      </c>
      <c r="H244" s="5">
        <f>COUNTIFS(TableFA21324[Project],TableFA21324[[#This Row],[Project]])</f>
        <v>3</v>
      </c>
      <c r="K244" s="4" t="s">
        <v>31</v>
      </c>
      <c r="L244" s="4" t="s">
        <v>31</v>
      </c>
      <c r="M244" s="4" t="s">
        <v>31</v>
      </c>
      <c r="N244" s="4" t="s">
        <v>31</v>
      </c>
      <c r="O244" s="31" t="s">
        <v>31</v>
      </c>
      <c r="P244" s="4" t="s">
        <v>31</v>
      </c>
      <c r="Q244" s="4" t="s">
        <v>31</v>
      </c>
    </row>
    <row r="245" spans="1:24" s="4" customFormat="1" x14ac:dyDescent="0.2">
      <c r="A245" t="s">
        <v>572</v>
      </c>
      <c r="B245" t="s">
        <v>573</v>
      </c>
      <c r="C245" t="s">
        <v>480</v>
      </c>
      <c r="D245" t="s">
        <v>27</v>
      </c>
      <c r="E245" s="22" t="s">
        <v>28</v>
      </c>
      <c r="F245" s="4" t="s">
        <v>569</v>
      </c>
      <c r="G245" s="5">
        <f>COUNTIFS(TableFA21324[Project],TableFA21324[[#This Row],[Project]],TableFA21324[Program],TableFA21324[[#This Row],[Program]])</f>
        <v>3</v>
      </c>
      <c r="H245" s="5">
        <f>COUNTIFS(TableFA21324[Project],TableFA21324[[#This Row],[Project]])</f>
        <v>3</v>
      </c>
      <c r="K245" s="4" t="s">
        <v>31</v>
      </c>
      <c r="L245" s="4" t="s">
        <v>31</v>
      </c>
      <c r="M245" s="4" t="s">
        <v>31</v>
      </c>
      <c r="N245" s="4" t="s">
        <v>31</v>
      </c>
      <c r="O245" s="31" t="s">
        <v>31</v>
      </c>
      <c r="P245" s="4" t="s">
        <v>31</v>
      </c>
      <c r="Q245" s="4" t="s">
        <v>31</v>
      </c>
    </row>
    <row r="246" spans="1:24" s="4" customFormat="1" x14ac:dyDescent="0.2">
      <c r="A246" s="20" t="s">
        <v>574</v>
      </c>
      <c r="B246" s="20" t="s">
        <v>575</v>
      </c>
      <c r="C246" s="20" t="s">
        <v>480</v>
      </c>
      <c r="D246" s="20" t="s">
        <v>27</v>
      </c>
      <c r="E246" s="22" t="s">
        <v>28</v>
      </c>
      <c r="F246" s="5" t="s">
        <v>576</v>
      </c>
      <c r="G246" s="5">
        <f>COUNTIFS(TableFA21324[Project],TableFA21324[[#This Row],[Project]],TableFA21324[Program],TableFA21324[[#This Row],[Program]])</f>
        <v>5</v>
      </c>
      <c r="H246" s="5">
        <f>COUNTIFS(TableFA21324[Project],TableFA21324[[#This Row],[Project]])</f>
        <v>5</v>
      </c>
      <c r="I246" s="5" t="s">
        <v>30</v>
      </c>
      <c r="J246" s="5"/>
      <c r="K246" s="4" t="s">
        <v>31</v>
      </c>
      <c r="L246" s="4" t="s">
        <v>31</v>
      </c>
      <c r="M246" s="4" t="s">
        <v>31</v>
      </c>
      <c r="N246" s="4" t="s">
        <v>31</v>
      </c>
      <c r="O246" s="4" t="s">
        <v>31</v>
      </c>
      <c r="P246" s="4" t="s">
        <v>31</v>
      </c>
      <c r="Q246" s="4" t="s">
        <v>31</v>
      </c>
      <c r="R246" s="4" t="s">
        <v>31</v>
      </c>
      <c r="S246" s="4" t="s">
        <v>31</v>
      </c>
      <c r="T246" s="4" t="s">
        <v>31</v>
      </c>
      <c r="U246" s="4" t="s">
        <v>31</v>
      </c>
      <c r="V246" s="4" t="s">
        <v>31</v>
      </c>
      <c r="W246" s="4" t="s">
        <v>31</v>
      </c>
      <c r="X246" s="4" t="s">
        <v>31</v>
      </c>
    </row>
    <row r="247" spans="1:24" s="4" customFormat="1" x14ac:dyDescent="0.2">
      <c r="A247" t="s">
        <v>577</v>
      </c>
      <c r="B247" t="s">
        <v>578</v>
      </c>
      <c r="C247" t="s">
        <v>480</v>
      </c>
      <c r="D247" t="s">
        <v>54</v>
      </c>
      <c r="E247" s="22" t="s">
        <v>28</v>
      </c>
      <c r="F247" s="4" t="s">
        <v>576</v>
      </c>
      <c r="G247" s="5">
        <f>COUNTIFS(TableFA21324[Project],TableFA21324[[#This Row],[Project]],TableFA21324[Program],TableFA21324[[#This Row],[Program]])</f>
        <v>5</v>
      </c>
      <c r="H247" s="5">
        <f>COUNTIFS(TableFA21324[Project],TableFA21324[[#This Row],[Project]])</f>
        <v>5</v>
      </c>
      <c r="K247" s="4" t="s">
        <v>31</v>
      </c>
      <c r="L247" s="4" t="s">
        <v>31</v>
      </c>
      <c r="M247" s="4" t="s">
        <v>31</v>
      </c>
      <c r="N247" s="4" t="s">
        <v>31</v>
      </c>
      <c r="O247" s="4" t="s">
        <v>31</v>
      </c>
      <c r="P247" s="4" t="s">
        <v>31</v>
      </c>
      <c r="Q247" s="4" t="s">
        <v>31</v>
      </c>
      <c r="R247" s="4" t="s">
        <v>31</v>
      </c>
      <c r="S247" s="4" t="s">
        <v>31</v>
      </c>
      <c r="T247" s="4" t="s">
        <v>31</v>
      </c>
      <c r="U247" s="4" t="s">
        <v>31</v>
      </c>
      <c r="V247" s="4" t="s">
        <v>31</v>
      </c>
      <c r="W247" s="4" t="s">
        <v>31</v>
      </c>
      <c r="X247" s="4" t="s">
        <v>31</v>
      </c>
    </row>
    <row r="248" spans="1:24" s="4" customFormat="1" x14ac:dyDescent="0.2">
      <c r="A248" t="s">
        <v>579</v>
      </c>
      <c r="B248" t="s">
        <v>580</v>
      </c>
      <c r="C248" t="s">
        <v>480</v>
      </c>
      <c r="D248" t="s">
        <v>27</v>
      </c>
      <c r="E248" s="22" t="s">
        <v>28</v>
      </c>
      <c r="F248" s="4" t="s">
        <v>576</v>
      </c>
      <c r="G248" s="5">
        <f>COUNTIFS(TableFA21324[Project],TableFA21324[[#This Row],[Project]],TableFA21324[Program],TableFA21324[[#This Row],[Program]])</f>
        <v>5</v>
      </c>
      <c r="H248" s="5">
        <f>COUNTIFS(TableFA21324[Project],TableFA21324[[#This Row],[Project]])</f>
        <v>5</v>
      </c>
      <c r="K248" s="4" t="s">
        <v>31</v>
      </c>
      <c r="L248" s="4" t="s">
        <v>31</v>
      </c>
      <c r="M248" s="4" t="s">
        <v>31</v>
      </c>
      <c r="N248" s="4" t="s">
        <v>31</v>
      </c>
      <c r="O248" s="4" t="s">
        <v>31</v>
      </c>
      <c r="P248" s="4" t="s">
        <v>31</v>
      </c>
      <c r="Q248" s="4" t="s">
        <v>31</v>
      </c>
      <c r="R248" s="4" t="s">
        <v>31</v>
      </c>
      <c r="S248" s="4" t="s">
        <v>31</v>
      </c>
      <c r="T248" s="4" t="s">
        <v>31</v>
      </c>
      <c r="U248" s="4" t="s">
        <v>31</v>
      </c>
      <c r="V248" s="4" t="s">
        <v>31</v>
      </c>
      <c r="W248" s="4" t="s">
        <v>31</v>
      </c>
      <c r="X248" s="4" t="s">
        <v>31</v>
      </c>
    </row>
    <row r="249" spans="1:24" s="4" customFormat="1" x14ac:dyDescent="0.2">
      <c r="A249" t="s">
        <v>581</v>
      </c>
      <c r="B249" t="s">
        <v>582</v>
      </c>
      <c r="C249" t="s">
        <v>480</v>
      </c>
      <c r="D249" t="s">
        <v>27</v>
      </c>
      <c r="E249" s="22" t="s">
        <v>28</v>
      </c>
      <c r="F249" s="4" t="s">
        <v>576</v>
      </c>
      <c r="G249" s="5">
        <f>COUNTIFS(TableFA21324[Project],TableFA21324[[#This Row],[Project]],TableFA21324[Program],TableFA21324[[#This Row],[Program]])</f>
        <v>5</v>
      </c>
      <c r="H249" s="5">
        <f>COUNTIFS(TableFA21324[Project],TableFA21324[[#This Row],[Project]])</f>
        <v>5</v>
      </c>
      <c r="K249" s="4" t="s">
        <v>31</v>
      </c>
      <c r="L249" s="4" t="s">
        <v>31</v>
      </c>
      <c r="M249" s="4" t="s">
        <v>31</v>
      </c>
      <c r="N249" s="4" t="s">
        <v>31</v>
      </c>
      <c r="O249" s="4" t="s">
        <v>31</v>
      </c>
      <c r="P249" s="4" t="s">
        <v>31</v>
      </c>
      <c r="Q249" s="4" t="s">
        <v>31</v>
      </c>
      <c r="R249" s="4" t="s">
        <v>31</v>
      </c>
      <c r="S249" s="4" t="s">
        <v>31</v>
      </c>
      <c r="T249" s="4" t="s">
        <v>31</v>
      </c>
      <c r="U249" s="4" t="s">
        <v>31</v>
      </c>
      <c r="V249" s="4" t="s">
        <v>31</v>
      </c>
      <c r="W249" s="4" t="s">
        <v>31</v>
      </c>
      <c r="X249" s="4" t="s">
        <v>31</v>
      </c>
    </row>
    <row r="250" spans="1:24" s="4" customFormat="1" x14ac:dyDescent="0.2">
      <c r="A250" t="s">
        <v>583</v>
      </c>
      <c r="B250" t="s">
        <v>584</v>
      </c>
      <c r="C250" t="s">
        <v>480</v>
      </c>
      <c r="D250" t="s">
        <v>27</v>
      </c>
      <c r="E250" s="22" t="s">
        <v>28</v>
      </c>
      <c r="F250" s="4" t="s">
        <v>576</v>
      </c>
      <c r="G250" s="5">
        <f>COUNTIFS(TableFA21324[Project],TableFA21324[[#This Row],[Project]],TableFA21324[Program],TableFA21324[[#This Row],[Program]])</f>
        <v>5</v>
      </c>
      <c r="H250" s="5">
        <f>COUNTIFS(TableFA21324[Project],TableFA21324[[#This Row],[Project]])</f>
        <v>5</v>
      </c>
      <c r="K250" s="4" t="s">
        <v>31</v>
      </c>
      <c r="L250" s="4" t="s">
        <v>31</v>
      </c>
      <c r="M250" s="4" t="s">
        <v>31</v>
      </c>
      <c r="N250" s="4" t="s">
        <v>31</v>
      </c>
      <c r="O250" s="4" t="s">
        <v>31</v>
      </c>
      <c r="P250" s="4" t="s">
        <v>31</v>
      </c>
      <c r="Q250" s="4" t="s">
        <v>31</v>
      </c>
      <c r="R250" s="4" t="s">
        <v>31</v>
      </c>
      <c r="S250" s="4" t="s">
        <v>31</v>
      </c>
      <c r="T250" s="4" t="s">
        <v>31</v>
      </c>
      <c r="U250" s="4" t="s">
        <v>31</v>
      </c>
      <c r="V250" s="4" t="s">
        <v>31</v>
      </c>
      <c r="W250" s="4" t="s">
        <v>31</v>
      </c>
      <c r="X250" s="4" t="s">
        <v>31</v>
      </c>
    </row>
    <row r="251" spans="1:24" s="5" customFormat="1" x14ac:dyDescent="0.2">
      <c r="A251"/>
      <c r="B251"/>
      <c r="C251"/>
      <c r="D251"/>
      <c r="E251"/>
      <c r="F251"/>
      <c r="G251"/>
      <c r="H251"/>
      <c r="I251"/>
      <c r="J251"/>
      <c r="K251"/>
      <c r="L251"/>
      <c r="M251"/>
      <c r="N251"/>
      <c r="O251"/>
      <c r="P251"/>
      <c r="Q251"/>
      <c r="R251"/>
      <c r="S251"/>
      <c r="T251"/>
      <c r="U251"/>
      <c r="V251"/>
      <c r="W251"/>
      <c r="X251"/>
    </row>
    <row r="252" spans="1:24" s="4" customFormat="1" x14ac:dyDescent="0.2">
      <c r="A252"/>
      <c r="B252"/>
      <c r="C252"/>
      <c r="D252"/>
      <c r="E252"/>
      <c r="F252"/>
      <c r="G252"/>
      <c r="H252"/>
      <c r="I252"/>
      <c r="J252"/>
      <c r="K252"/>
      <c r="L252"/>
      <c r="M252"/>
      <c r="N252"/>
      <c r="O252"/>
      <c r="P252"/>
      <c r="Q252"/>
      <c r="R252"/>
      <c r="S252"/>
      <c r="T252"/>
      <c r="U252"/>
      <c r="V252"/>
      <c r="W252"/>
      <c r="X252"/>
    </row>
    <row r="253" spans="1:24" s="4" customFormat="1" x14ac:dyDescent="0.2">
      <c r="A253"/>
      <c r="B253"/>
      <c r="C253"/>
      <c r="D253"/>
      <c r="E253"/>
      <c r="F253"/>
      <c r="G253"/>
      <c r="H253"/>
      <c r="I253"/>
      <c r="J253"/>
      <c r="K253"/>
      <c r="L253"/>
      <c r="M253"/>
      <c r="N253"/>
      <c r="O253"/>
      <c r="P253"/>
      <c r="Q253"/>
      <c r="R253"/>
      <c r="S253"/>
      <c r="T253"/>
      <c r="U253"/>
      <c r="V253"/>
      <c r="W253"/>
      <c r="X253"/>
    </row>
    <row r="254" spans="1:24" s="4" customFormat="1" x14ac:dyDescent="0.2">
      <c r="A254"/>
      <c r="B254"/>
      <c r="C254"/>
      <c r="D254"/>
      <c r="E254"/>
      <c r="F254"/>
      <c r="G254"/>
      <c r="H254"/>
      <c r="I254"/>
      <c r="J254"/>
      <c r="K254"/>
      <c r="L254"/>
      <c r="M254"/>
      <c r="N254"/>
      <c r="O254"/>
      <c r="P254"/>
      <c r="Q254"/>
      <c r="R254"/>
      <c r="S254"/>
      <c r="T254"/>
      <c r="U254"/>
      <c r="V254"/>
      <c r="W254"/>
      <c r="X254"/>
    </row>
  </sheetData>
  <protectedRanges>
    <protectedRange sqref="Y1 F1 E2:E250" name="Range1"/>
    <protectedRange sqref="I1:V1" name="Range2"/>
  </protectedRanges>
  <phoneticPr fontId="1" type="noConversion"/>
  <conditionalFormatting sqref="G2:H250 I140:I141">
    <cfRule type="cellIs" dxfId="66" priority="205" operator="between">
      <formula>1</formula>
      <formula>2</formula>
    </cfRule>
    <cfRule type="cellIs" dxfId="65" priority="204" operator="greaterThan">
      <formula>5</formula>
    </cfRule>
    <cfRule type="cellIs" dxfId="64" priority="206" operator="between">
      <formula>3</formula>
      <formula>5</formula>
    </cfRule>
  </conditionalFormatting>
  <conditionalFormatting sqref="J11:L16 N13:X16 J17:N20 P17:X20 J21:X35 M36:X36 J36:J40 O37:X46 J41:N46 J47:X97 J98:L101 J102:X169 J170:L170 N170:X170 J171:X243 K244:L246">
    <cfRule type="containsText" dxfId="63" priority="196" operator="containsText" text="Somewhat Active">
      <formula>NOT(ISERROR(SEARCH("Somewhat Active",J11)))</formula>
    </cfRule>
    <cfRule type="containsText" dxfId="62" priority="195" operator="containsText" text="Mostly Inactive">
      <formula>NOT(ISERROR(SEARCH("Mostly Inactive",J11)))</formula>
    </cfRule>
    <cfRule type="containsText" dxfId="61" priority="194" operator="containsText" text="Missing In Action">
      <formula>NOT(ISERROR(SEARCH("Missing In Action",J11)))</formula>
    </cfRule>
    <cfRule type="containsText" dxfId="60" priority="193" operator="containsText" text="Highly Active">
      <formula>NOT(ISERROR(SEARCH("Highly Active",J11)))</formula>
    </cfRule>
  </conditionalFormatting>
  <conditionalFormatting sqref="K36:K40">
    <cfRule type="containsText" dxfId="59" priority="192" operator="containsText" text="Somewhat Active">
      <formula>NOT(ISERROR(SEARCH("Somewhat Active",K36)))</formula>
    </cfRule>
    <cfRule type="containsText" dxfId="58" priority="189" operator="containsText" text="Highly Active">
      <formula>NOT(ISERROR(SEARCH("Highly Active",K36)))</formula>
    </cfRule>
    <cfRule type="containsText" dxfId="57" priority="190" operator="containsText" text="Missing In Action">
      <formula>NOT(ISERROR(SEARCH("Missing In Action",K36)))</formula>
    </cfRule>
    <cfRule type="containsText" dxfId="56" priority="191" operator="containsText" text="Mostly Inactive">
      <formula>NOT(ISERROR(SEARCH("Mostly Inactive",K36)))</formula>
    </cfRule>
  </conditionalFormatting>
  <conditionalFormatting sqref="K247:K250">
    <cfRule type="containsText" dxfId="55" priority="188" operator="containsText" text="Somewhat Active">
      <formula>NOT(ISERROR(SEARCH("Somewhat Active",K247)))</formula>
    </cfRule>
    <cfRule type="containsText" dxfId="54" priority="187" operator="containsText" text="Mostly Inactive">
      <formula>NOT(ISERROR(SEARCH("Mostly Inactive",K247)))</formula>
    </cfRule>
    <cfRule type="containsText" dxfId="53" priority="186" operator="containsText" text="Missing In Action">
      <formula>NOT(ISERROR(SEARCH("Missing In Action",K247)))</formula>
    </cfRule>
    <cfRule type="containsText" dxfId="52" priority="185" operator="containsText" text="Highly Active">
      <formula>NOT(ISERROR(SEARCH("Highly Active",K247)))</formula>
    </cfRule>
  </conditionalFormatting>
  <conditionalFormatting sqref="K1:V1 J2:X10 M11:X12 M13:M16">
    <cfRule type="containsText" dxfId="51" priority="200" operator="containsText" text="Highly Active">
      <formula>NOT(ISERROR(SEARCH("Highly Active",J1)))</formula>
    </cfRule>
    <cfRule type="containsText" dxfId="50" priority="201" operator="containsText" text="Missing In Action">
      <formula>NOT(ISERROR(SEARCH("Missing In Action",J1)))</formula>
    </cfRule>
    <cfRule type="containsText" dxfId="49" priority="202" operator="containsText" text="Mostly Inactive">
      <formula>NOT(ISERROR(SEARCH("Mostly Inactive",J1)))</formula>
    </cfRule>
    <cfRule type="containsText" dxfId="48" priority="203" operator="containsText" text="Somewhat Active">
      <formula>NOT(ISERROR(SEARCH("Somewhat Active",J1)))</formula>
    </cfRule>
  </conditionalFormatting>
  <conditionalFormatting sqref="L36:L40">
    <cfRule type="containsText" dxfId="47" priority="184" operator="containsText" text="Somewhat Active">
      <formula>NOT(ISERROR(SEARCH("Somewhat Active",L36)))</formula>
    </cfRule>
    <cfRule type="containsText" dxfId="46" priority="183" operator="containsText" text="Mostly Inactive">
      <formula>NOT(ISERROR(SEARCH("Mostly Inactive",L36)))</formula>
    </cfRule>
    <cfRule type="containsText" dxfId="45" priority="182" operator="containsText" text="Missing In Action">
      <formula>NOT(ISERROR(SEARCH("Missing In Action",L36)))</formula>
    </cfRule>
    <cfRule type="containsText" dxfId="44" priority="181" operator="containsText" text="Highly Active">
      <formula>NOT(ISERROR(SEARCH("Highly Active",L36)))</formula>
    </cfRule>
  </conditionalFormatting>
  <conditionalFormatting sqref="L247:L250">
    <cfRule type="containsText" dxfId="43" priority="164" operator="containsText" text="Somewhat Active">
      <formula>NOT(ISERROR(SEARCH("Somewhat Active",L247)))</formula>
    </cfRule>
    <cfRule type="containsText" dxfId="42" priority="163" operator="containsText" text="Mostly Inactive">
      <formula>NOT(ISERROR(SEARCH("Mostly Inactive",L247)))</formula>
    </cfRule>
    <cfRule type="containsText" dxfId="41" priority="162" operator="containsText" text="Missing In Action">
      <formula>NOT(ISERROR(SEARCH("Missing In Action",L247)))</formula>
    </cfRule>
    <cfRule type="containsText" dxfId="40" priority="161" operator="containsText" text="Highly Active">
      <formula>NOT(ISERROR(SEARCH("Highly Active",L247)))</formula>
    </cfRule>
  </conditionalFormatting>
  <conditionalFormatting sqref="M37:M40">
    <cfRule type="containsText" dxfId="39" priority="160" operator="containsText" text="Somewhat Active">
      <formula>NOT(ISERROR(SEARCH("Somewhat Active",M37)))</formula>
    </cfRule>
    <cfRule type="containsText" dxfId="38" priority="159" operator="containsText" text="Mostly Inactive">
      <formula>NOT(ISERROR(SEARCH("Mostly Inactive",M37)))</formula>
    </cfRule>
    <cfRule type="containsText" dxfId="37" priority="158" operator="containsText" text="Missing In Action">
      <formula>NOT(ISERROR(SEARCH("Missing In Action",M37)))</formula>
    </cfRule>
    <cfRule type="containsText" dxfId="36" priority="157" operator="containsText" text="Highly Active">
      <formula>NOT(ISERROR(SEARCH("Highly Active",M37)))</formula>
    </cfRule>
  </conditionalFormatting>
  <conditionalFormatting sqref="N37:N40">
    <cfRule type="containsText" dxfId="35" priority="154" operator="containsText" text="Missing In Action">
      <formula>NOT(ISERROR(SEARCH("Missing In Action",N37)))</formula>
    </cfRule>
    <cfRule type="containsText" dxfId="34" priority="153" operator="containsText" text="Highly Active">
      <formula>NOT(ISERROR(SEARCH("Highly Active",N37)))</formula>
    </cfRule>
    <cfRule type="containsText" dxfId="33" priority="155" operator="containsText" text="Mostly Inactive">
      <formula>NOT(ISERROR(SEARCH("Mostly Inactive",N37)))</formula>
    </cfRule>
    <cfRule type="containsText" dxfId="32" priority="156" operator="containsText" text="Somewhat Active">
      <formula>NOT(ISERROR(SEARCH("Somewhat Active",N37)))</formula>
    </cfRule>
  </conditionalFormatting>
  <conditionalFormatting sqref="O17:O20">
    <cfRule type="containsText" dxfId="31" priority="120" operator="containsText" text="Somewhat Active">
      <formula>NOT(ISERROR(SEARCH("Somewhat Active",O17)))</formula>
    </cfRule>
    <cfRule type="containsText" dxfId="30" priority="119" operator="containsText" text="Mostly Inactive">
      <formula>NOT(ISERROR(SEARCH("Mostly Inactive",O17)))</formula>
    </cfRule>
    <cfRule type="containsText" dxfId="29" priority="118" operator="containsText" text="Missing In Action">
      <formula>NOT(ISERROR(SEARCH("Missing In Action",O17)))</formula>
    </cfRule>
    <cfRule type="containsText" dxfId="28" priority="117" operator="containsText" text="Highly Active">
      <formula>NOT(ISERROR(SEARCH("Highly Active",O17)))</formula>
    </cfRule>
  </conditionalFormatting>
  <conditionalFormatting sqref="S246:S250">
    <cfRule type="containsText" dxfId="27" priority="136" operator="containsText" text="Somewhat Active">
      <formula>NOT(ISERROR(SEARCH("Somewhat Active",S246)))</formula>
    </cfRule>
    <cfRule type="containsText" dxfId="26" priority="135" operator="containsText" text="Mostly Inactive">
      <formula>NOT(ISERROR(SEARCH("Mostly Inactive",S246)))</formula>
    </cfRule>
    <cfRule type="containsText" dxfId="25" priority="134" operator="containsText" text="Missing In Action">
      <formula>NOT(ISERROR(SEARCH("Missing In Action",S246)))</formula>
    </cfRule>
    <cfRule type="containsText" dxfId="24" priority="133" operator="containsText" text="Highly Active">
      <formula>NOT(ISERROR(SEARCH("Highly Active",S246)))</formula>
    </cfRule>
  </conditionalFormatting>
  <conditionalFormatting sqref="T246:T250">
    <cfRule type="containsText" dxfId="23" priority="100" operator="containsText" text="Somewhat Active">
      <formula>NOT(ISERROR(SEARCH("Somewhat Active",T246)))</formula>
    </cfRule>
    <cfRule type="containsText" dxfId="22" priority="99" operator="containsText" text="Mostly Inactive">
      <formula>NOT(ISERROR(SEARCH("Mostly Inactive",T246)))</formula>
    </cfRule>
    <cfRule type="containsText" dxfId="21" priority="98" operator="containsText" text="Missing In Action">
      <formula>NOT(ISERROR(SEARCH("Missing In Action",T246)))</formula>
    </cfRule>
    <cfRule type="containsText" dxfId="20" priority="97" operator="containsText" text="Highly Active">
      <formula>NOT(ISERROR(SEARCH("Highly Active",T246)))</formula>
    </cfRule>
  </conditionalFormatting>
  <conditionalFormatting sqref="U246:U250">
    <cfRule type="containsText" dxfId="19" priority="78" operator="containsText" text="Missing In Action">
      <formula>NOT(ISERROR(SEARCH("Missing In Action",U246)))</formula>
    </cfRule>
    <cfRule type="containsText" dxfId="18" priority="79" operator="containsText" text="Mostly Inactive">
      <formula>NOT(ISERROR(SEARCH("Mostly Inactive",U246)))</formula>
    </cfRule>
    <cfRule type="containsText" dxfId="17" priority="80" operator="containsText" text="Somewhat Active">
      <formula>NOT(ISERROR(SEARCH("Somewhat Active",U246)))</formula>
    </cfRule>
    <cfRule type="containsText" dxfId="16" priority="77" operator="containsText" text="Highly Active">
      <formula>NOT(ISERROR(SEARCH("Highly Active",U246)))</formula>
    </cfRule>
  </conditionalFormatting>
  <conditionalFormatting sqref="V246:V250">
    <cfRule type="containsText" dxfId="15" priority="60" operator="containsText" text="Somewhat Active">
      <formula>NOT(ISERROR(SEARCH("Somewhat Active",V246)))</formula>
    </cfRule>
    <cfRule type="containsText" dxfId="14" priority="59" operator="containsText" text="Mostly Inactive">
      <formula>NOT(ISERROR(SEARCH("Mostly Inactive",V246)))</formula>
    </cfRule>
    <cfRule type="containsText" dxfId="13" priority="58" operator="containsText" text="Missing In Action">
      <formula>NOT(ISERROR(SEARCH("Missing In Action",V246)))</formula>
    </cfRule>
    <cfRule type="containsText" dxfId="12" priority="57" operator="containsText" text="Highly Active">
      <formula>NOT(ISERROR(SEARCH("Highly Active",V246)))</formula>
    </cfRule>
  </conditionalFormatting>
  <conditionalFormatting sqref="W247:W250">
    <cfRule type="containsText" dxfId="11" priority="20" operator="containsText" text="Somewhat Active">
      <formula>NOT(ISERROR(SEARCH("Somewhat Active",W247)))</formula>
    </cfRule>
    <cfRule type="containsText" dxfId="10" priority="19" operator="containsText" text="Mostly Inactive">
      <formula>NOT(ISERROR(SEARCH("Mostly Inactive",W247)))</formula>
    </cfRule>
    <cfRule type="containsText" dxfId="9" priority="18" operator="containsText" text="Missing In Action">
      <formula>NOT(ISERROR(SEARCH("Missing In Action",W247)))</formula>
    </cfRule>
    <cfRule type="containsText" dxfId="8" priority="17" operator="containsText" text="Highly Active">
      <formula>NOT(ISERROR(SEARCH("Highly Active",W247)))</formula>
    </cfRule>
  </conditionalFormatting>
  <conditionalFormatting sqref="W246:X246">
    <cfRule type="containsText" dxfId="7" priority="36" operator="containsText" text="Somewhat Active">
      <formula>NOT(ISERROR(SEARCH("Somewhat Active",W246)))</formula>
    </cfRule>
    <cfRule type="containsText" dxfId="6" priority="35" operator="containsText" text="Mostly Inactive">
      <formula>NOT(ISERROR(SEARCH("Mostly Inactive",W246)))</formula>
    </cfRule>
    <cfRule type="containsText" dxfId="5" priority="34" operator="containsText" text="Missing In Action">
      <formula>NOT(ISERROR(SEARCH("Missing In Action",W246)))</formula>
    </cfRule>
    <cfRule type="containsText" dxfId="4" priority="33" operator="containsText" text="Highly Active">
      <formula>NOT(ISERROR(SEARCH("Highly Active",W246)))</formula>
    </cfRule>
  </conditionalFormatting>
  <conditionalFormatting sqref="X247:X250">
    <cfRule type="containsText" dxfId="3" priority="4" operator="containsText" text="Somewhat Active">
      <formula>NOT(ISERROR(SEARCH("Somewhat Active",X247)))</formula>
    </cfRule>
    <cfRule type="containsText" dxfId="2" priority="3" operator="containsText" text="Mostly Inactive">
      <formula>NOT(ISERROR(SEARCH("Mostly Inactive",X247)))</formula>
    </cfRule>
    <cfRule type="containsText" dxfId="1" priority="2" operator="containsText" text="Missing In Action">
      <formula>NOT(ISERROR(SEARCH("Missing In Action",X247)))</formula>
    </cfRule>
    <cfRule type="containsText" dxfId="0" priority="1" operator="containsText" text="Highly Active">
      <formula>NOT(ISERROR(SEARCH("Highly Active",X247)))</formula>
    </cfRule>
  </conditionalFormatting>
  <dataValidations count="2">
    <dataValidation type="list" allowBlank="1" showInputMessage="1" showErrorMessage="1" sqref="I2:I139 I142:I250" xr:uid="{FB552993-E44F-724F-BB96-D01B74954038}">
      <formula1>"Team Lead"</formula1>
    </dataValidation>
    <dataValidation type="list" allowBlank="1" showInputMessage="1" showErrorMessage="1" sqref="K39:L199 K244:L250 M171:M199 M102:M169 K2:N38 S237:X238 R238 K239:X243 K237:Q238 O2:X97 M39:N97 S246:X250 K200:X236 N102:X199" xr:uid="{ECAB0A43-6696-3347-AFD7-5D50500DD1CD}">
      <formula1>"Highly Active, Somewhat Active, Mostly Inactive, Missing In Action"</formula1>
    </dataValidation>
  </dataValidations>
  <hyperlinks>
    <hyperlink ref="A195" r:id="rId1" xr:uid="{4684D467-3A9D-4883-A9CE-6DF4EB862ADA}"/>
    <hyperlink ref="A196" r:id="rId2" xr:uid="{9AFF0970-ED88-42A6-90E8-54870552B4A4}"/>
    <hyperlink ref="A197" r:id="rId3" xr:uid="{83B1D0F0-1E62-4D69-84F6-3AB24FEF6B91}"/>
    <hyperlink ref="A74" r:id="rId4" xr:uid="{49AC8B2A-997A-4EAE-A5D2-0F4AC3860F8C}"/>
    <hyperlink ref="A241" r:id="rId5" xr:uid="{C7B96873-1E5C-408E-987B-129F11FE2291}"/>
  </hyperlinks>
  <pageMargins left="0.7" right="0.7" top="0.75" bottom="0.75" header="0.3" footer="0.3"/>
  <pageSetup orientation="portrait" horizontalDpi="0" verticalDpi="0"/>
  <headerFooter>
    <oddFooter>&amp;C_x000D_&amp;1#&amp;"Aptos"&amp;12&amp;K000000 FIU - Internal Data</oddFooter>
  </headerFooter>
  <legacyDrawing r:id="rId6"/>
  <tableParts count="1">
    <tablePart r:id="rId7"/>
  </tableParts>
  <extLst>
    <ext xmlns:x14="http://schemas.microsoft.com/office/spreadsheetml/2009/9/main" uri="{CCE6A557-97BC-4b89-ADB6-D9C93CAAB3DF}">
      <x14:dataValidations xmlns:xm="http://schemas.microsoft.com/office/excel/2006/main" count="1">
        <x14:dataValidation type="list" allowBlank="1" showInputMessage="1" showErrorMessage="1" xr:uid="{8EFC66D7-089D-B04A-ADC3-B068E273DAB7}">
          <x14:formula1>
            <xm:f>Projects!$A$2:$A$56</xm:f>
          </x14:formula1>
          <xm:sqref>F2:F52 F60:F250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12BBA-E467-2E41-9CEF-1C10A532B6E0}">
  <dimension ref="A1:G57"/>
  <sheetViews>
    <sheetView zoomScale="190" zoomScaleNormal="190" workbookViewId="0">
      <selection activeCell="B11" sqref="B11"/>
    </sheetView>
  </sheetViews>
  <sheetFormatPr baseColWidth="10" defaultColWidth="11.5" defaultRowHeight="15" x14ac:dyDescent="0.2"/>
  <cols>
    <col min="1" max="1" width="60.6640625" bestFit="1" customWidth="1"/>
    <col min="2" max="2" width="23.6640625" customWidth="1"/>
    <col min="3" max="3" width="18.5" bestFit="1" customWidth="1"/>
    <col min="4" max="4" width="51" customWidth="1"/>
    <col min="5" max="5" width="255.83203125" bestFit="1" customWidth="1"/>
    <col min="6" max="6" width="19.1640625" bestFit="1" customWidth="1"/>
    <col min="7" max="7" width="255.83203125" bestFit="1" customWidth="1"/>
    <col min="30" max="30" width="93" customWidth="1"/>
  </cols>
  <sheetData>
    <row r="1" spans="1:7" x14ac:dyDescent="0.2">
      <c r="A1" t="s">
        <v>5</v>
      </c>
      <c r="B1" s="13" t="s">
        <v>585</v>
      </c>
      <c r="C1" s="13" t="s">
        <v>586</v>
      </c>
      <c r="D1" s="13" t="s">
        <v>587</v>
      </c>
      <c r="E1" s="13" t="s">
        <v>588</v>
      </c>
      <c r="F1" s="13" t="s">
        <v>589</v>
      </c>
      <c r="G1" s="13" t="s">
        <v>590</v>
      </c>
    </row>
    <row r="2" spans="1:7" x14ac:dyDescent="0.2">
      <c r="A2" t="str">
        <f>_xlfn.CONCAT(Projects[[#This Row],[Your Academic Major]], ": ", Projects[[#This Row],[Project Title]])</f>
        <v>Computer Science: CAMP</v>
      </c>
      <c r="B2" s="14" t="s">
        <v>591</v>
      </c>
      <c r="C2" s="12" t="s">
        <v>24</v>
      </c>
      <c r="D2" s="14" t="s">
        <v>592</v>
      </c>
      <c r="E2" t="s">
        <v>593</v>
      </c>
      <c r="F2" s="14" t="s">
        <v>26</v>
      </c>
      <c r="G2" s="14"/>
    </row>
    <row r="3" spans="1:7" x14ac:dyDescent="0.2">
      <c r="A3" t="str">
        <f>_xlfn.CONCAT(Projects[[#This Row],[Your Academic Major]], ": ", Projects[[#This Row],[Project Title]])</f>
        <v>Computer Science: Chronic Kidney Disease Prediction System</v>
      </c>
      <c r="B3" s="14" t="s">
        <v>594</v>
      </c>
      <c r="C3" s="12" t="s">
        <v>43</v>
      </c>
      <c r="D3" s="14" t="s">
        <v>595</v>
      </c>
      <c r="E3" s="14" t="s">
        <v>596</v>
      </c>
      <c r="F3" s="14" t="s">
        <v>26</v>
      </c>
      <c r="G3" s="14"/>
    </row>
    <row r="4" spans="1:7" x14ac:dyDescent="0.2">
      <c r="A4" t="str">
        <f>_xlfn.CONCAT(Projects[[#This Row],[Your Academic Major]], ": ", Projects[[#This Row],[Project Title]])</f>
        <v>Computer Science: CineMatch</v>
      </c>
      <c r="B4" s="14" t="s">
        <v>597</v>
      </c>
      <c r="C4" s="12" t="s">
        <v>56</v>
      </c>
      <c r="D4" s="14" t="s">
        <v>598</v>
      </c>
      <c r="E4" t="s">
        <v>599</v>
      </c>
      <c r="F4" s="14" t="s">
        <v>26</v>
      </c>
      <c r="G4" s="14"/>
    </row>
    <row r="5" spans="1:7" x14ac:dyDescent="0.2">
      <c r="A5" t="str">
        <f>_xlfn.CONCAT(Projects[[#This Row],[Your Academic Major]], ": ", Projects[[#This Row],[Project Title]])</f>
        <v>Computer Science: ClassConnect</v>
      </c>
      <c r="B5" s="14" t="s">
        <v>600</v>
      </c>
      <c r="C5" s="12" t="s">
        <v>71</v>
      </c>
      <c r="D5" s="14" t="s">
        <v>601</v>
      </c>
      <c r="E5" t="s">
        <v>602</v>
      </c>
      <c r="F5" s="14" t="s">
        <v>26</v>
      </c>
      <c r="G5" s="14"/>
    </row>
    <row r="6" spans="1:7" x14ac:dyDescent="0.2">
      <c r="A6" t="str">
        <f>_xlfn.CONCAT(Projects[[#This Row],[Your Academic Major]], ": ", Projects[[#This Row],[Project Title]])</f>
        <v>Computer Science: DevKid</v>
      </c>
      <c r="B6" s="14" t="s">
        <v>603</v>
      </c>
      <c r="C6" s="12" t="s">
        <v>75</v>
      </c>
      <c r="D6" s="14" t="s">
        <v>604</v>
      </c>
      <c r="E6" s="14" t="s">
        <v>605</v>
      </c>
      <c r="F6" s="14" t="s">
        <v>26</v>
      </c>
      <c r="G6" s="14"/>
    </row>
    <row r="7" spans="1:7" x14ac:dyDescent="0.2">
      <c r="A7" t="str">
        <f>_xlfn.CONCAT(Projects[[#This Row],[Your Academic Major]], ": ", Projects[[#This Row],[Project Title]])</f>
        <v>Computer Science: FitLabel</v>
      </c>
      <c r="B7" s="14" t="s">
        <v>606</v>
      </c>
      <c r="C7" s="12" t="s">
        <v>92</v>
      </c>
      <c r="D7" s="14" t="s">
        <v>607</v>
      </c>
      <c r="E7" s="14" t="s">
        <v>608</v>
      </c>
      <c r="F7" s="14" t="s">
        <v>26</v>
      </c>
      <c r="G7" s="14"/>
    </row>
    <row r="8" spans="1:7" x14ac:dyDescent="0.2">
      <c r="A8" t="str">
        <f>_xlfn.CONCAT(Projects[[#This Row],[Your Academic Major]], ": ", Projects[[#This Row],[Project Title]])</f>
        <v>Computer Science: FlowInsight</v>
      </c>
      <c r="B8" s="14" t="s">
        <v>609</v>
      </c>
      <c r="C8" s="12" t="s">
        <v>105</v>
      </c>
      <c r="D8" s="14" t="s">
        <v>610</v>
      </c>
      <c r="E8" t="s">
        <v>611</v>
      </c>
      <c r="F8" s="14" t="s">
        <v>26</v>
      </c>
      <c r="G8" s="14"/>
    </row>
    <row r="9" spans="1:7" x14ac:dyDescent="0.2">
      <c r="A9" t="str">
        <f>_xlfn.CONCAT(Projects[[#This Row],[Your Academic Major]], ": ", Projects[[#This Row],[Project Title]])</f>
        <v>Computer Science: FraudShield</v>
      </c>
      <c r="B9" s="14" t="s">
        <v>612</v>
      </c>
      <c r="C9" s="12" t="s">
        <v>109</v>
      </c>
      <c r="D9" s="14" t="s">
        <v>613</v>
      </c>
      <c r="E9" s="14" t="s">
        <v>614</v>
      </c>
      <c r="F9" s="14" t="s">
        <v>26</v>
      </c>
      <c r="G9" s="14"/>
    </row>
    <row r="10" spans="1:7" x14ac:dyDescent="0.2">
      <c r="A10" t="str">
        <f>_xlfn.CONCAT(Projects[[#This Row],[Your Academic Major]], ": ", Projects[[#This Row],[Project Title]])</f>
        <v>Computer Science: HMT</v>
      </c>
      <c r="B10" s="14" t="s">
        <v>615</v>
      </c>
      <c r="C10" s="12" t="s">
        <v>120</v>
      </c>
      <c r="D10" s="14" t="s">
        <v>616</v>
      </c>
      <c r="E10" s="14" t="s">
        <v>617</v>
      </c>
      <c r="F10" s="14" t="s">
        <v>26</v>
      </c>
      <c r="G10" s="14"/>
    </row>
    <row r="11" spans="1:7" x14ac:dyDescent="0.2">
      <c r="A11" t="str">
        <f>_xlfn.CONCAT(Projects[[#This Row],[Your Academic Major]], ": ", Projects[[#This Row],[Project Title]])</f>
        <v>Computer Science: Intelligent Home Monitoring System</v>
      </c>
      <c r="B11" s="14" t="s">
        <v>618</v>
      </c>
      <c r="C11" s="12" t="s">
        <v>136</v>
      </c>
      <c r="D11" s="14" t="s">
        <v>619</v>
      </c>
      <c r="E11" s="14" t="s">
        <v>620</v>
      </c>
      <c r="F11" s="14" t="s">
        <v>26</v>
      </c>
      <c r="G11" s="14"/>
    </row>
    <row r="12" spans="1:7" x14ac:dyDescent="0.2">
      <c r="A12" t="str">
        <f>_xlfn.CONCAT(Projects[[#This Row],[Your Academic Major]], ": ", Projects[[#This Row],[Project Title]])</f>
        <v>Computer Science: KeyLock</v>
      </c>
      <c r="B12" s="14" t="s">
        <v>621</v>
      </c>
      <c r="C12" s="12" t="s">
        <v>147</v>
      </c>
      <c r="D12" s="14" t="s">
        <v>622</v>
      </c>
      <c r="E12" s="14" t="s">
        <v>623</v>
      </c>
      <c r="F12" s="14" t="s">
        <v>26</v>
      </c>
      <c r="G12" s="14"/>
    </row>
    <row r="13" spans="1:7" x14ac:dyDescent="0.2">
      <c r="A13" t="str">
        <f>_xlfn.CONCAT(Projects[[#This Row],[Your Academic Major]], ": ", Projects[[#This Row],[Project Title]])</f>
        <v>Computer Science: Lingualink</v>
      </c>
      <c r="B13" s="15" t="s">
        <v>624</v>
      </c>
      <c r="C13" s="12" t="s">
        <v>149</v>
      </c>
      <c r="D13" s="16" t="s">
        <v>625</v>
      </c>
      <c r="E13" s="15" t="s">
        <v>626</v>
      </c>
      <c r="F13" t="s">
        <v>26</v>
      </c>
    </row>
    <row r="14" spans="1:7" x14ac:dyDescent="0.2">
      <c r="A14" t="str">
        <f>_xlfn.CONCAT(Projects[[#This Row],[Your Academic Major]], ": ", Projects[[#This Row],[Project Title]])</f>
        <v>Computer Science: MarketVision</v>
      </c>
      <c r="B14" s="14" t="s">
        <v>627</v>
      </c>
      <c r="C14" s="12" t="s">
        <v>158</v>
      </c>
      <c r="D14" s="14" t="s">
        <v>628</v>
      </c>
      <c r="E14" t="s">
        <v>623</v>
      </c>
      <c r="F14" s="14" t="s">
        <v>26</v>
      </c>
      <c r="G14" s="14"/>
    </row>
    <row r="15" spans="1:7" x14ac:dyDescent="0.2">
      <c r="A15" t="str">
        <f>_xlfn.CONCAT(Projects[[#This Row],[Your Academic Major]], ": ", Projects[[#This Row],[Project Title]])</f>
        <v xml:space="preserve">Computer Science: Momentum </v>
      </c>
      <c r="B15" s="14" t="s">
        <v>629</v>
      </c>
      <c r="C15" s="12" t="s">
        <v>176</v>
      </c>
      <c r="D15" s="14" t="s">
        <v>630</v>
      </c>
      <c r="E15" s="14" t="s">
        <v>631</v>
      </c>
      <c r="F15" s="14" t="s">
        <v>26</v>
      </c>
      <c r="G15" s="14"/>
    </row>
    <row r="16" spans="1:7" x14ac:dyDescent="0.2">
      <c r="A16" t="str">
        <f>_xlfn.CONCAT(Projects[[#This Row],[Your Academic Major]], ": ", Projects[[#This Row],[Project Title]])</f>
        <v>Computer Science: NextPick</v>
      </c>
      <c r="B16" s="14" t="s">
        <v>632</v>
      </c>
      <c r="C16" s="12" t="s">
        <v>183</v>
      </c>
      <c r="D16" s="14" t="s">
        <v>633</v>
      </c>
      <c r="E16" t="s">
        <v>634</v>
      </c>
      <c r="F16" s="14" t="s">
        <v>26</v>
      </c>
      <c r="G16" s="14"/>
    </row>
    <row r="17" spans="1:7" x14ac:dyDescent="0.2">
      <c r="A17" t="str">
        <f>_xlfn.CONCAT(Projects[[#This Row],[Your Academic Major]], ": ", Projects[[#This Row],[Project Title]])</f>
        <v>Computer Science: NutriChoice</v>
      </c>
      <c r="B17" s="14" t="s">
        <v>635</v>
      </c>
      <c r="C17" s="12" t="s">
        <v>196</v>
      </c>
      <c r="D17" s="14" t="s">
        <v>636</v>
      </c>
      <c r="E17" s="14" t="s">
        <v>637</v>
      </c>
      <c r="F17" s="14" t="s">
        <v>26</v>
      </c>
      <c r="G17" s="14"/>
    </row>
    <row r="18" spans="1:7" x14ac:dyDescent="0.2">
      <c r="A18" t="str">
        <f>_xlfn.CONCAT(Projects[[#This Row],[Your Academic Major]], ": ", Projects[[#This Row],[Project Title]])</f>
        <v>Computer Science: Panthera</v>
      </c>
      <c r="B18" s="14" t="s">
        <v>638</v>
      </c>
      <c r="C18" s="12" t="s">
        <v>202</v>
      </c>
      <c r="D18" s="14" t="s">
        <v>639</v>
      </c>
      <c r="E18" s="14" t="s">
        <v>640</v>
      </c>
      <c r="F18" s="14" t="s">
        <v>26</v>
      </c>
      <c r="G18" s="14"/>
    </row>
    <row r="19" spans="1:7" x14ac:dyDescent="0.2">
      <c r="A19" t="str">
        <f>_xlfn.CONCAT(Projects[[#This Row],[Your Academic Major]], ": ", Projects[[#This Row],[Project Title]])</f>
        <v>Computer Science: Test</v>
      </c>
      <c r="B19" s="14"/>
      <c r="C19" s="12"/>
      <c r="D19" s="14" t="s">
        <v>641</v>
      </c>
      <c r="E19" s="14"/>
      <c r="F19" s="14" t="s">
        <v>26</v>
      </c>
      <c r="G19" s="14"/>
    </row>
    <row r="20" spans="1:7" x14ac:dyDescent="0.2">
      <c r="A20" t="str">
        <f>_xlfn.CONCAT(Projects[[#This Row],[Your Academic Major]], ": ", Projects[[#This Row],[Project Title]])</f>
        <v>Computer Science: Place Holder 24</v>
      </c>
      <c r="B20" s="14" t="s">
        <v>642</v>
      </c>
      <c r="C20" s="12" t="s">
        <v>58</v>
      </c>
      <c r="D20" s="14" t="s">
        <v>643</v>
      </c>
      <c r="E20" s="14"/>
      <c r="F20" s="14" t="s">
        <v>26</v>
      </c>
      <c r="G20" s="14"/>
    </row>
    <row r="21" spans="1:7" x14ac:dyDescent="0.2">
      <c r="A21" t="str">
        <f>_xlfn.CONCAT(Projects[[#This Row],[Your Academic Major]], ": ", Projects[[#This Row],[Project Title]])</f>
        <v>Computer Science: Place Holder 29</v>
      </c>
      <c r="B21" s="14"/>
      <c r="C21" s="12"/>
      <c r="D21" s="14" t="s">
        <v>644</v>
      </c>
      <c r="E21" s="14"/>
      <c r="F21" s="14" t="s">
        <v>26</v>
      </c>
      <c r="G21" s="14"/>
    </row>
    <row r="22" spans="1:7" x14ac:dyDescent="0.2">
      <c r="A22" t="str">
        <f>_xlfn.CONCAT(Projects[[#This Row],[Your Academic Major]], ": ", Projects[[#This Row],[Project Title]])</f>
        <v>Computer Science: Play&amp;Watch</v>
      </c>
      <c r="B22" s="14" t="s">
        <v>645</v>
      </c>
      <c r="C22" s="12" t="s">
        <v>215</v>
      </c>
      <c r="D22" s="14" t="s">
        <v>646</v>
      </c>
      <c r="E22" s="14" t="s">
        <v>647</v>
      </c>
      <c r="F22" s="14" t="s">
        <v>26</v>
      </c>
      <c r="G22" s="14"/>
    </row>
    <row r="23" spans="1:7" x14ac:dyDescent="0.2">
      <c r="A23" t="str">
        <f>_xlfn.CONCAT(Projects[[#This Row],[Your Academic Major]], ": ", Projects[[#This Row],[Project Title]])</f>
        <v>Computer Science: PriceRelate</v>
      </c>
      <c r="B23" s="14" t="s">
        <v>648</v>
      </c>
      <c r="C23" s="12" t="s">
        <v>224</v>
      </c>
      <c r="D23" s="14" t="s">
        <v>649</v>
      </c>
      <c r="E23" s="14" t="s">
        <v>650</v>
      </c>
      <c r="F23" s="14" t="s">
        <v>26</v>
      </c>
      <c r="G23" s="14"/>
    </row>
    <row r="24" spans="1:7" x14ac:dyDescent="0.2">
      <c r="A24" t="str">
        <f>_xlfn.CONCAT(Projects[[#This Row],[Your Academic Major]], ": ", Projects[[#This Row],[Project Title]])</f>
        <v>Computer Science: Product Finder</v>
      </c>
      <c r="B24" s="14" t="s">
        <v>651</v>
      </c>
      <c r="C24" s="12" t="s">
        <v>233</v>
      </c>
      <c r="D24" s="14" t="s">
        <v>652</v>
      </c>
      <c r="E24" s="14" t="s">
        <v>653</v>
      </c>
      <c r="F24" s="14" t="s">
        <v>26</v>
      </c>
      <c r="G24" s="14"/>
    </row>
    <row r="25" spans="1:7" x14ac:dyDescent="0.2">
      <c r="A25" t="str">
        <f>_xlfn.CONCAT(Projects[[#This Row],[Your Academic Major]], ": ", Projects[[#This Row],[Project Title]])</f>
        <v>Computer Science: RealState</v>
      </c>
      <c r="B25" s="14" t="s">
        <v>654</v>
      </c>
      <c r="C25" s="12" t="s">
        <v>247</v>
      </c>
      <c r="D25" s="14" t="s">
        <v>655</v>
      </c>
      <c r="E25" s="14" t="s">
        <v>656</v>
      </c>
      <c r="F25" s="14" t="s">
        <v>26</v>
      </c>
      <c r="G25" s="14"/>
    </row>
    <row r="26" spans="1:7" x14ac:dyDescent="0.2">
      <c r="A26" t="str">
        <f>_xlfn.CONCAT(Projects[[#This Row],[Your Academic Major]], ": ", Projects[[#This Row],[Project Title]])</f>
        <v>Computer Science: Rentability</v>
      </c>
      <c r="B26" s="14" t="s">
        <v>657</v>
      </c>
      <c r="C26" s="12" t="s">
        <v>258</v>
      </c>
      <c r="D26" s="14" t="s">
        <v>658</v>
      </c>
      <c r="E26" s="10" t="s">
        <v>659</v>
      </c>
      <c r="F26" s="14" t="s">
        <v>26</v>
      </c>
      <c r="G26" s="14"/>
    </row>
    <row r="27" spans="1:7" x14ac:dyDescent="0.2">
      <c r="A27" t="str">
        <f>_xlfn.CONCAT(Projects[[#This Row],[Your Academic Major]], ": ", Projects[[#This Row],[Project Title]])</f>
        <v>Computer Science: Roar</v>
      </c>
      <c r="B27" s="14" t="s">
        <v>660</v>
      </c>
      <c r="C27" s="12" t="s">
        <v>264</v>
      </c>
      <c r="D27" s="14" t="s">
        <v>661</v>
      </c>
      <c r="E27" s="14" t="s">
        <v>662</v>
      </c>
      <c r="F27" s="14" t="s">
        <v>26</v>
      </c>
      <c r="G27" s="14"/>
    </row>
    <row r="28" spans="1:7" x14ac:dyDescent="0.2">
      <c r="A28" t="str">
        <f>_xlfn.CONCAT(Projects[[#This Row],[Your Academic Major]], ": ", Projects[[#This Row],[Project Title]])</f>
        <v>Computer Science: ShieldSense</v>
      </c>
      <c r="B28" s="14" t="s">
        <v>663</v>
      </c>
      <c r="C28" s="12" t="s">
        <v>664</v>
      </c>
      <c r="D28" s="14" t="s">
        <v>665</v>
      </c>
      <c r="E28" t="s">
        <v>666</v>
      </c>
      <c r="F28" s="14" t="s">
        <v>26</v>
      </c>
      <c r="G28" s="14"/>
    </row>
    <row r="29" spans="1:7" x14ac:dyDescent="0.2">
      <c r="A29" t="str">
        <f>_xlfn.CONCAT(Projects[[#This Row],[Your Academic Major]], ": ", Projects[[#This Row],[Project Title]])</f>
        <v>Computer Science: Story2Play</v>
      </c>
      <c r="B29" s="14" t="s">
        <v>667</v>
      </c>
      <c r="C29" s="12" t="s">
        <v>293</v>
      </c>
      <c r="D29" s="14" t="s">
        <v>668</v>
      </c>
      <c r="E29" s="14" t="s">
        <v>669</v>
      </c>
      <c r="F29" s="14" t="s">
        <v>26</v>
      </c>
      <c r="G29" s="14"/>
    </row>
    <row r="30" spans="1:7" x14ac:dyDescent="0.2">
      <c r="A30" t="str">
        <f>_xlfn.CONCAT(Projects[[#This Row],[Your Academic Major]], ": ", Projects[[#This Row],[Project Title]])</f>
        <v>Computer Science: TrainRec</v>
      </c>
      <c r="B30" s="14" t="s">
        <v>670</v>
      </c>
      <c r="C30" s="12" t="s">
        <v>295</v>
      </c>
      <c r="D30" s="14" t="s">
        <v>671</v>
      </c>
      <c r="E30" s="14" t="s">
        <v>672</v>
      </c>
      <c r="F30" s="14" t="s">
        <v>26</v>
      </c>
      <c r="G30" s="14"/>
    </row>
    <row r="31" spans="1:7" x14ac:dyDescent="0.2">
      <c r="A31" t="str">
        <f>_xlfn.CONCAT(Projects[[#This Row],[Your Academic Major]], ": ", Projects[[#This Row],[Project Title]])</f>
        <v xml:space="preserve">Computer Science: TranslateAll </v>
      </c>
      <c r="B31" s="14" t="s">
        <v>673</v>
      </c>
      <c r="C31" s="12" t="s">
        <v>306</v>
      </c>
      <c r="D31" s="14" t="s">
        <v>674</v>
      </c>
      <c r="E31" s="14" t="s">
        <v>675</v>
      </c>
      <c r="F31" s="14" t="s">
        <v>26</v>
      </c>
      <c r="G31" s="14"/>
    </row>
    <row r="32" spans="1:7" x14ac:dyDescent="0.2">
      <c r="A32" t="str">
        <f>_xlfn.CONCAT(Projects[[#This Row],[Your Academic Major]], ": ", Projects[[#This Row],[Project Title]])</f>
        <v>Computer Science: Veritas</v>
      </c>
      <c r="B32" s="14" t="s">
        <v>676</v>
      </c>
      <c r="C32" s="12" t="s">
        <v>317</v>
      </c>
      <c r="D32" s="14" t="s">
        <v>677</v>
      </c>
      <c r="E32" s="10" t="s">
        <v>678</v>
      </c>
      <c r="F32" s="14" t="s">
        <v>26</v>
      </c>
      <c r="G32" s="14"/>
    </row>
    <row r="33" spans="1:7" x14ac:dyDescent="0.2">
      <c r="A33" t="str">
        <f>_xlfn.CONCAT(Projects[[#This Row],[Your Academic Major]], ": ", Projects[[#This Row],[Project Title]])</f>
        <v>Computer Science: Watchlist</v>
      </c>
      <c r="B33" s="14" t="s">
        <v>679</v>
      </c>
      <c r="C33" s="12" t="s">
        <v>327</v>
      </c>
      <c r="D33" s="14" t="s">
        <v>680</v>
      </c>
      <c r="E33" s="14" t="s">
        <v>681</v>
      </c>
      <c r="F33" s="14" t="s">
        <v>26</v>
      </c>
      <c r="G33" s="14"/>
    </row>
    <row r="34" spans="1:7" x14ac:dyDescent="0.2">
      <c r="A34" t="str">
        <f>_xlfn.CONCAT(Projects[[#This Row],[Your Academic Major]], ": ", Projects[[#This Row],[Project Title]])</f>
        <v>Cybersecurity: Aegis Wireless</v>
      </c>
      <c r="B34" s="14" t="s">
        <v>682</v>
      </c>
      <c r="C34" s="12" t="s">
        <v>335</v>
      </c>
      <c r="D34" s="14" t="s">
        <v>683</v>
      </c>
      <c r="E34" t="s">
        <v>684</v>
      </c>
      <c r="F34" s="14" t="s">
        <v>337</v>
      </c>
      <c r="G34" s="14"/>
    </row>
    <row r="35" spans="1:7" x14ac:dyDescent="0.2">
      <c r="A35" t="str">
        <f>_xlfn.CONCAT(Projects[[#This Row],[Your Academic Major]], ": ", Projects[[#This Row],[Project Title]])</f>
        <v>Cybersecurity: AmiLeaked</v>
      </c>
      <c r="B35" s="14" t="s">
        <v>685</v>
      </c>
      <c r="C35" s="12" t="s">
        <v>343</v>
      </c>
      <c r="D35" s="14" t="s">
        <v>686</v>
      </c>
      <c r="E35" s="14" t="s">
        <v>687</v>
      </c>
      <c r="F35" s="14" t="s">
        <v>337</v>
      </c>
      <c r="G35" s="14"/>
    </row>
    <row r="36" spans="1:7" x14ac:dyDescent="0.2">
      <c r="A36" t="str">
        <f>_xlfn.CONCAT(Projects[[#This Row],[Your Academic Major]], ": ", Projects[[#This Row],[Project Title]])</f>
        <v>Cybersecurity: AnomAI</v>
      </c>
      <c r="B36" s="14" t="s">
        <v>688</v>
      </c>
      <c r="C36" s="12" t="s">
        <v>354</v>
      </c>
      <c r="D36" s="14" t="s">
        <v>689</v>
      </c>
      <c r="E36" s="14" t="s">
        <v>690</v>
      </c>
      <c r="F36" s="14" t="s">
        <v>337</v>
      </c>
      <c r="G36" s="14"/>
    </row>
    <row r="37" spans="1:7" x14ac:dyDescent="0.2">
      <c r="A37" t="str">
        <f>_xlfn.CONCAT(Projects[[#This Row],[Your Academic Major]], ": ", Projects[[#This Row],[Project Title]])</f>
        <v>Cybersecurity: HashSlinger</v>
      </c>
      <c r="B37" s="14" t="s">
        <v>691</v>
      </c>
      <c r="C37" s="12" t="s">
        <v>368</v>
      </c>
      <c r="D37" s="14" t="s">
        <v>692</v>
      </c>
      <c r="E37" s="14" t="s">
        <v>693</v>
      </c>
      <c r="F37" s="14" t="s">
        <v>337</v>
      </c>
      <c r="G37" s="14"/>
    </row>
    <row r="38" spans="1:7" x14ac:dyDescent="0.2">
      <c r="A38" t="str">
        <f>_xlfn.CONCAT(Projects[[#This Row],[Your Academic Major]], ": ", Projects[[#This Row],[Project Title]])</f>
        <v>Cybersecurity: HomeSafe</v>
      </c>
      <c r="B38" s="14" t="s">
        <v>694</v>
      </c>
      <c r="C38" s="12" t="s">
        <v>695</v>
      </c>
      <c r="D38" s="14" t="s">
        <v>696</v>
      </c>
      <c r="E38" s="14" t="s">
        <v>697</v>
      </c>
      <c r="F38" s="14" t="s">
        <v>337</v>
      </c>
      <c r="G38" s="14"/>
    </row>
    <row r="39" spans="1:7" x14ac:dyDescent="0.2">
      <c r="A39" t="str">
        <f>_xlfn.CONCAT(Projects[[#This Row],[Your Academic Major]], ": ", Projects[[#This Row],[Project Title]])</f>
        <v>Cybersecurity: IoTShield</v>
      </c>
      <c r="B39" s="14" t="s">
        <v>698</v>
      </c>
      <c r="C39" s="12" t="s">
        <v>383</v>
      </c>
      <c r="D39" s="14" t="s">
        <v>699</v>
      </c>
      <c r="E39" t="s">
        <v>700</v>
      </c>
      <c r="F39" s="14" t="s">
        <v>337</v>
      </c>
      <c r="G39" s="14"/>
    </row>
    <row r="40" spans="1:7" x14ac:dyDescent="0.2">
      <c r="A40" t="str">
        <f>_xlfn.CONCAT(Projects[[#This Row],[Your Academic Major]], ": ", Projects[[#This Row],[Project Title]])</f>
        <v>Cybersecurity: PhishNet</v>
      </c>
      <c r="B40" s="14" t="s">
        <v>701</v>
      </c>
      <c r="C40" s="12" t="s">
        <v>392</v>
      </c>
      <c r="D40" s="14" t="s">
        <v>702</v>
      </c>
      <c r="E40" s="14" t="s">
        <v>703</v>
      </c>
      <c r="F40" s="14" t="s">
        <v>337</v>
      </c>
      <c r="G40" s="14"/>
    </row>
    <row r="41" spans="1:7" x14ac:dyDescent="0.2">
      <c r="A41" t="str">
        <f>_xlfn.CONCAT(Projects[[#This Row],[Your Academic Major]], ": ", Projects[[#This Row],[Project Title]])</f>
        <v>Cybersecurity: SecureGPS</v>
      </c>
      <c r="B41" s="14" t="s">
        <v>704</v>
      </c>
      <c r="C41" s="12" t="s">
        <v>412</v>
      </c>
      <c r="D41" s="14" t="s">
        <v>705</v>
      </c>
      <c r="E41" s="14" t="s">
        <v>706</v>
      </c>
      <c r="F41" s="14" t="s">
        <v>337</v>
      </c>
      <c r="G41" s="14"/>
    </row>
    <row r="42" spans="1:7" x14ac:dyDescent="0.2">
      <c r="A42" t="str">
        <f>_xlfn.CONCAT(Projects[[#This Row],[Your Academic Major]], ": ", Projects[[#This Row],[Project Title]])</f>
        <v>Cybersecurity: StrongPass</v>
      </c>
      <c r="B42" s="14" t="s">
        <v>707</v>
      </c>
      <c r="C42" s="12" t="s">
        <v>414</v>
      </c>
      <c r="D42" s="14" t="s">
        <v>708</v>
      </c>
      <c r="E42" s="14" t="s">
        <v>709</v>
      </c>
      <c r="F42" s="14" t="s">
        <v>337</v>
      </c>
      <c r="G42" s="14"/>
    </row>
    <row r="43" spans="1:7" x14ac:dyDescent="0.2">
      <c r="A43" t="str">
        <f>_xlfn.CONCAT(Projects[[#This Row],[Your Academic Major]], ": ", Projects[[#This Row],[Project Title]])</f>
        <v>Cybersecurity: Vaultora</v>
      </c>
      <c r="B43" s="14" t="s">
        <v>710</v>
      </c>
      <c r="C43" s="12" t="s">
        <v>428</v>
      </c>
      <c r="D43" s="14" t="s">
        <v>711</v>
      </c>
      <c r="E43" s="14" t="s">
        <v>712</v>
      </c>
      <c r="F43" s="14" t="s">
        <v>337</v>
      </c>
      <c r="G43" s="14"/>
    </row>
    <row r="44" spans="1:7" x14ac:dyDescent="0.2">
      <c r="A44" t="str">
        <f>_xlfn.CONCAT(Projects[[#This Row],[Your Academic Major]], ": ", Projects[[#This Row],[Project Title]])</f>
        <v>Cybersecurity: VulNerd</v>
      </c>
      <c r="B44" s="14" t="s">
        <v>713</v>
      </c>
      <c r="C44" s="12" t="s">
        <v>439</v>
      </c>
      <c r="D44" s="14" t="s">
        <v>714</v>
      </c>
      <c r="E44" s="14" t="s">
        <v>715</v>
      </c>
      <c r="F44" s="14" t="s">
        <v>337</v>
      </c>
      <c r="G44" s="14"/>
    </row>
    <row r="45" spans="1:7" x14ac:dyDescent="0.2">
      <c r="A45" t="str">
        <f>_xlfn.CONCAT(Projects[[#This Row],[Your Academic Major]], ": ", Projects[[#This Row],[Project Title]])</f>
        <v>Data Sceince: Amazon Product Sales Forecast</v>
      </c>
      <c r="B45" s="14" t="s">
        <v>716</v>
      </c>
      <c r="C45" s="12" t="s">
        <v>467</v>
      </c>
      <c r="D45" s="14" t="s">
        <v>717</v>
      </c>
      <c r="E45" s="14" t="s">
        <v>718</v>
      </c>
      <c r="F45" s="14" t="s">
        <v>719</v>
      </c>
      <c r="G45" s="14"/>
    </row>
    <row r="46" spans="1:7" x14ac:dyDescent="0.2">
      <c r="A46" t="s">
        <v>460</v>
      </c>
      <c r="B46" s="14" t="s">
        <v>720</v>
      </c>
      <c r="C46" s="12" t="s">
        <v>457</v>
      </c>
      <c r="D46" s="14" t="s">
        <v>721</v>
      </c>
      <c r="E46" s="6" t="s">
        <v>722</v>
      </c>
      <c r="F46" s="14" t="s">
        <v>719</v>
      </c>
      <c r="G46" s="14"/>
    </row>
    <row r="47" spans="1:7" x14ac:dyDescent="0.2">
      <c r="A47" t="str">
        <f>_xlfn.CONCAT(Projects[[#This Row],[Your Academic Major]], ": ", Projects[[#This Row],[Project Title]])</f>
        <v xml:space="preserve">Information Technology: Automated Employee Lifecycle Management
</v>
      </c>
      <c r="B47" t="s">
        <v>723</v>
      </c>
      <c r="C47" s="12" t="s">
        <v>478</v>
      </c>
      <c r="D47" s="14" t="s">
        <v>724</v>
      </c>
      <c r="E47" s="14" t="s">
        <v>725</v>
      </c>
      <c r="F47" s="14" t="s">
        <v>480</v>
      </c>
      <c r="G47" s="14"/>
    </row>
    <row r="48" spans="1:7" x14ac:dyDescent="0.2">
      <c r="A48" t="str">
        <f>_xlfn.CONCAT(Projects[[#This Row],[Your Academic Major]], ": ", Projects[[#This Row],[Project Title]])</f>
        <v>Information Technology: Binger VPN</v>
      </c>
      <c r="B48" s="14" t="s">
        <v>726</v>
      </c>
      <c r="C48" s="12" t="s">
        <v>490</v>
      </c>
      <c r="D48" s="14" t="s">
        <v>727</v>
      </c>
      <c r="E48" s="14" t="s">
        <v>728</v>
      </c>
      <c r="F48" s="14" t="s">
        <v>480</v>
      </c>
      <c r="G48" s="14"/>
    </row>
    <row r="49" spans="1:7" x14ac:dyDescent="0.2">
      <c r="A49" t="str">
        <f>_xlfn.CONCAT(Projects[[#This Row],[Your Academic Major]], ": ", Projects[[#This Row],[Project Title]])</f>
        <v xml:space="preserve">Information Technology: Cloud Backup System </v>
      </c>
      <c r="B49" s="14" t="s">
        <v>729</v>
      </c>
      <c r="C49" s="12" t="s">
        <v>508</v>
      </c>
      <c r="D49" s="14" t="s">
        <v>730</v>
      </c>
      <c r="E49" s="14" t="s">
        <v>731</v>
      </c>
      <c r="F49" s="14" t="s">
        <v>480</v>
      </c>
      <c r="G49" s="14"/>
    </row>
    <row r="50" spans="1:7" x14ac:dyDescent="0.2">
      <c r="A50" t="str">
        <f>_xlfn.CONCAT(Projects[[#This Row],[Your Academic Major]], ": ", Projects[[#This Row],[Project Title]])</f>
        <v>Information Technology: Data Loss Prevention</v>
      </c>
      <c r="B50" s="14" t="s">
        <v>732</v>
      </c>
      <c r="C50" s="12" t="s">
        <v>517</v>
      </c>
      <c r="D50" s="14" t="s">
        <v>733</v>
      </c>
      <c r="E50" s="14" t="s">
        <v>734</v>
      </c>
      <c r="F50" s="14" t="s">
        <v>480</v>
      </c>
      <c r="G50" s="14"/>
    </row>
    <row r="51" spans="1:7" x14ac:dyDescent="0.2">
      <c r="A51" t="str">
        <f>_xlfn.CONCAT(Projects[[#This Row],[Your Academic Major]], ": ", Projects[[#This Row],[Project Title]])</f>
        <v>Information Technology: Disk Space Cleaner</v>
      </c>
      <c r="B51" s="10" t="s">
        <v>735</v>
      </c>
      <c r="C51" s="12" t="s">
        <v>523</v>
      </c>
      <c r="D51" s="14" t="s">
        <v>736</v>
      </c>
      <c r="E51" s="14" t="s">
        <v>737</v>
      </c>
      <c r="F51" s="14" t="s">
        <v>480</v>
      </c>
      <c r="G51" s="14"/>
    </row>
    <row r="52" spans="1:7" x14ac:dyDescent="0.2">
      <c r="A52" t="str">
        <f>_xlfn.CONCAT(Projects[[#This Row],[Your Academic Major]], ": ", Projects[[#This Row],[Project Title]])</f>
        <v>Information Technology: Health Information Management System</v>
      </c>
      <c r="B52" s="14" t="s">
        <v>738</v>
      </c>
      <c r="C52" s="12" t="s">
        <v>534</v>
      </c>
      <c r="D52" s="14" t="s">
        <v>739</v>
      </c>
      <c r="E52" s="14" t="s">
        <v>740</v>
      </c>
      <c r="F52" s="14" t="s">
        <v>480</v>
      </c>
      <c r="G52" s="14"/>
    </row>
    <row r="53" spans="1:7" x14ac:dyDescent="0.2">
      <c r="A53" t="str">
        <f>_xlfn.CONCAT(Projects[[#This Row],[Your Academic Major]], ": ", Projects[[#This Row],[Project Title]])</f>
        <v>Information Technology: Pantry Inventory Management System</v>
      </c>
      <c r="B53" s="14" t="s">
        <v>741</v>
      </c>
      <c r="C53" s="12" t="s">
        <v>545</v>
      </c>
      <c r="D53" s="14" t="s">
        <v>742</v>
      </c>
      <c r="E53" s="14" t="s">
        <v>743</v>
      </c>
      <c r="F53" s="14" t="s">
        <v>480</v>
      </c>
      <c r="G53" s="14"/>
    </row>
    <row r="54" spans="1:7" x14ac:dyDescent="0.2">
      <c r="A54" t="str">
        <f>_xlfn.CONCAT(Projects[[#This Row],[Your Academic Major]], ": ", Projects[[#This Row],[Project Title]])</f>
        <v>Information Technology: RemoteX</v>
      </c>
      <c r="B54" s="14" t="s">
        <v>744</v>
      </c>
      <c r="C54" s="12" t="s">
        <v>563</v>
      </c>
      <c r="D54" s="14" t="s">
        <v>745</v>
      </c>
      <c r="E54" s="14" t="s">
        <v>746</v>
      </c>
      <c r="F54" s="14" t="s">
        <v>480</v>
      </c>
      <c r="G54" s="14"/>
    </row>
    <row r="55" spans="1:7" x14ac:dyDescent="0.2">
      <c r="A55" t="str">
        <f>_xlfn.CONCAT(Projects[[#This Row],[Your Academic Major]], ": ", Projects[[#This Row],[Project Title]])</f>
        <v xml:space="preserve">Information Technology: Student PreClick </v>
      </c>
      <c r="B55" s="10" t="s">
        <v>747</v>
      </c>
      <c r="C55" s="12" t="s">
        <v>567</v>
      </c>
      <c r="D55" s="14" t="s">
        <v>748</v>
      </c>
      <c r="E55" s="14" t="s">
        <v>749</v>
      </c>
      <c r="F55" s="14" t="s">
        <v>480</v>
      </c>
      <c r="G55" s="14"/>
    </row>
    <row r="56" spans="1:7" x14ac:dyDescent="0.2">
      <c r="A56" t="str">
        <f>_xlfn.CONCAT(Projects[[#This Row],[Your Academic Major]], ": ", Projects[[#This Row],[Project Title]])</f>
        <v>Information Technology: vSecure</v>
      </c>
      <c r="B56" s="14" t="s">
        <v>750</v>
      </c>
      <c r="C56" s="12" t="s">
        <v>751</v>
      </c>
      <c r="D56" s="14" t="s">
        <v>752</v>
      </c>
      <c r="E56" s="14" t="s">
        <v>753</v>
      </c>
      <c r="F56" s="14" t="s">
        <v>480</v>
      </c>
      <c r="G56" s="14"/>
    </row>
    <row r="57" spans="1:7" x14ac:dyDescent="0.2">
      <c r="A57" s="10"/>
      <c r="C57" s="19"/>
    </row>
  </sheetData>
  <phoneticPr fontId="1" type="noConversion"/>
  <hyperlinks>
    <hyperlink ref="C36" r:id="rId1" xr:uid="{4CFD42BF-A9E8-409B-A66C-34D71315793C}"/>
    <hyperlink ref="C27" r:id="rId2" xr:uid="{F116C9C3-F096-4A24-90BF-C3E786DC46BB}"/>
    <hyperlink ref="C29" r:id="rId3" xr:uid="{E6AC56C8-D9D5-4F79-BE29-7181DFDB2F05}"/>
    <hyperlink ref="C32" r:id="rId4" xr:uid="{93DDF748-8353-47AE-B44F-25220C638D7F}"/>
    <hyperlink ref="C45" r:id="rId5" xr:uid="{8DFF5D57-6350-4A48-82A7-3FF0B602915F}"/>
    <hyperlink ref="C43" r:id="rId6" xr:uid="{765DF370-BDBE-421E-92A5-B0EEEC857C70}"/>
    <hyperlink ref="C23" r:id="rId7" xr:uid="{71D3F161-6D2B-43AD-A29D-1CC021E86942}"/>
    <hyperlink ref="C50" r:id="rId8" xr:uid="{0A06CB9E-581A-4730-AA82-A666723D94B2}"/>
    <hyperlink ref="C25" r:id="rId9" xr:uid="{428E4ECF-8864-424D-AA48-06EB66684956}"/>
    <hyperlink ref="C8" r:id="rId10" xr:uid="{8F1BDFAB-1BCD-4460-B8F3-C36B6E7E162F}"/>
    <hyperlink ref="C47" r:id="rId11" xr:uid="{A50FBF88-031C-42B7-8D37-0D553B445A6F}"/>
    <hyperlink ref="C24" r:id="rId12" xr:uid="{F836F25D-C929-4363-93AB-EA5CC749A264}"/>
    <hyperlink ref="C5" r:id="rId13" xr:uid="{4BCCD26A-9453-49BA-9511-F80540CC7CDE}"/>
    <hyperlink ref="C15" r:id="rId14" xr:uid="{D2C1B021-6C93-467D-857B-E0CFD3F1347A}"/>
    <hyperlink ref="C16" r:id="rId15" xr:uid="{9490DED3-B7AA-49F8-B184-F942049721AB}"/>
    <hyperlink ref="C53" r:id="rId16" xr:uid="{B355A43D-5B44-4596-8C81-49B2E0284754}"/>
    <hyperlink ref="C41" r:id="rId17" xr:uid="{9359A0F7-E156-40A0-BAF7-4FE6BBF7331F}"/>
    <hyperlink ref="C17" r:id="rId18" xr:uid="{312F0921-45C3-4724-A85C-6E0EFE1D4E15}"/>
    <hyperlink ref="C22" r:id="rId19" xr:uid="{25D59419-DC50-4DE9-83CC-4C195FDE0BC8}"/>
    <hyperlink ref="C44" r:id="rId20" xr:uid="{20603A78-DAA9-42E5-A9F8-941E82A34126}"/>
    <hyperlink ref="C7" r:id="rId21" xr:uid="{161665A4-30E5-47AF-B448-248EEDE8D750}"/>
    <hyperlink ref="C26" r:id="rId22" xr:uid="{5C4CF811-A9EF-B446-802E-2A6AE002DEB2}"/>
    <hyperlink ref="C54" r:id="rId23" xr:uid="{4B572815-C4C8-4FB7-8748-1E7D59CF9798}"/>
    <hyperlink ref="C28" r:id="rId24" xr:uid="{7D50892F-1673-4B98-AF7C-CAE4BF67D28D}"/>
    <hyperlink ref="C48" r:id="rId25" xr:uid="{C156B556-8DF4-4612-B264-64E0D960AE84}"/>
    <hyperlink ref="C40" r:id="rId26" xr:uid="{5E10B4F6-84D4-436D-A272-B2AC971EF57B}"/>
    <hyperlink ref="C39" r:id="rId27" xr:uid="{60D95487-B173-4C73-8B77-078AE25CE3D2}"/>
    <hyperlink ref="C31" r:id="rId28" xr:uid="{08FB7FA4-956B-4F7B-AD8F-C51FB12411C9}"/>
    <hyperlink ref="C20" r:id="rId29" xr:uid="{708CDD98-EEE7-4B28-BC57-3CDD61ECCDD2}"/>
    <hyperlink ref="C30" r:id="rId30" xr:uid="{BE7B6FB1-7A27-4253-8B42-27D501FAE9D3}"/>
    <hyperlink ref="C49" r:id="rId31" xr:uid="{47331BB8-1C79-1E4E-BE41-3147E90AC507}"/>
    <hyperlink ref="C37" r:id="rId32" xr:uid="{558F7BD9-BB2E-4873-A98E-A7114A7FA0BC}"/>
    <hyperlink ref="C9" r:id="rId33" xr:uid="{7F322C9B-E1DA-482E-B8A4-57FD1DAE3796}"/>
    <hyperlink ref="C35" r:id="rId34" xr:uid="{F44E16C6-7385-4F32-8DB5-41142A62F6BE}"/>
    <hyperlink ref="C42" r:id="rId35" xr:uid="{C3066652-3A5F-4D74-B70E-7AF775602729}"/>
    <hyperlink ref="C51" r:id="rId36" xr:uid="{72B886E2-01FE-4C55-A0C1-6F65F32A9F17}"/>
    <hyperlink ref="C10" r:id="rId37" xr:uid="{52FF0FEA-6CD0-461D-B5D3-80FA5A2257A7}"/>
    <hyperlink ref="C56" r:id="rId38" xr:uid="{EA228E14-B702-473B-A483-FB5123AD327C}"/>
    <hyperlink ref="C4" r:id="rId39" xr:uid="{35706AFB-7343-4C92-A352-048CEAE6B9E3}"/>
    <hyperlink ref="C6" r:id="rId40" xr:uid="{9B2C968C-63F8-4D90-BFA9-A52C58C9B5B7}"/>
    <hyperlink ref="C14" r:id="rId41" xr:uid="{3326E3F7-355F-4F9E-8379-6EC1C15FF9F2}"/>
    <hyperlink ref="C18" r:id="rId42" xr:uid="{90D54034-80E7-487F-99B4-2B80CE25D65A}"/>
    <hyperlink ref="C2" r:id="rId43" xr:uid="{783D23EB-1C60-4EF9-9CAD-A4721B687D46}"/>
    <hyperlink ref="C34" r:id="rId44" xr:uid="{61AD27ED-460B-489D-8761-B114675528E2}"/>
    <hyperlink ref="C33" r:id="rId45" xr:uid="{77A614A2-FE5C-49B9-A2E8-C05F52601A8F}"/>
    <hyperlink ref="C12" r:id="rId46" xr:uid="{1EA3F165-D151-491B-A55F-9A397C7BF53B}"/>
    <hyperlink ref="C52" r:id="rId47" xr:uid="{E5077DDC-AE1D-4FB6-B367-BA546E2DF0AE}"/>
    <hyperlink ref="C55" r:id="rId48" xr:uid="{20347536-3622-4AD0-92C0-E701CE88FAFB}"/>
    <hyperlink ref="C11" r:id="rId49" xr:uid="{60A77B08-8670-4940-B3CD-F064FB08D748}"/>
    <hyperlink ref="C13" r:id="rId50" xr:uid="{79E4EF92-D606-4699-BF43-39580B9D5B6E}"/>
    <hyperlink ref="C46" r:id="rId51" xr:uid="{7B0540D0-7C1F-46F8-B6C1-5A6891BAF4BF}"/>
  </hyperlinks>
  <pageMargins left="0.7" right="0.7" top="0.75" bottom="0.75" header="0.3" footer="0.3"/>
  <headerFooter>
    <oddFooter>&amp;C_x000D_&amp;1#&amp;"Aptos"&amp;12&amp;K000000 FIU - Internal Data</oddFooter>
  </headerFooter>
  <tableParts count="1">
    <tablePart r:id="rId5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Teams</vt:lpstr>
      <vt:lpstr>Projects</vt:lpstr>
    </vt:vector>
  </TitlesOfParts>
  <Manager/>
  <Company>FIU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gonzaama</dc:creator>
  <cp:keywords/>
  <dc:description/>
  <cp:lastModifiedBy>Masoud Sadjadi</cp:lastModifiedBy>
  <cp:revision/>
  <dcterms:created xsi:type="dcterms:W3CDTF">2019-09-27T18:02:20Z</dcterms:created>
  <dcterms:modified xsi:type="dcterms:W3CDTF">2025-12-18T03:54:52Z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55b6ed3-49d9-4c8b-b721-6e88a1f26c44_Enabled">
    <vt:lpwstr>true</vt:lpwstr>
  </property>
  <property fmtid="{D5CDD505-2E9C-101B-9397-08002B2CF9AE}" pid="3" name="MSIP_Label_055b6ed3-49d9-4c8b-b721-6e88a1f26c44_SetDate">
    <vt:lpwstr>2025-12-01T21:03:04Z</vt:lpwstr>
  </property>
  <property fmtid="{D5CDD505-2E9C-101B-9397-08002B2CF9AE}" pid="4" name="MSIP_Label_055b6ed3-49d9-4c8b-b721-6e88a1f26c44_Method">
    <vt:lpwstr>Standard</vt:lpwstr>
  </property>
  <property fmtid="{D5CDD505-2E9C-101B-9397-08002B2CF9AE}" pid="5" name="MSIP_Label_055b6ed3-49d9-4c8b-b721-6e88a1f26c44_Name">
    <vt:lpwstr>Internal or Private Data</vt:lpwstr>
  </property>
  <property fmtid="{D5CDD505-2E9C-101B-9397-08002B2CF9AE}" pid="6" name="MSIP_Label_055b6ed3-49d9-4c8b-b721-6e88a1f26c44_SiteId">
    <vt:lpwstr>ac79e5a8-e0e4-434b-a292-2c89b5c28366</vt:lpwstr>
  </property>
  <property fmtid="{D5CDD505-2E9C-101B-9397-08002B2CF9AE}" pid="7" name="MSIP_Label_055b6ed3-49d9-4c8b-b721-6e88a1f26c44_ActionId">
    <vt:lpwstr>96a85558-d823-4ed1-b165-4dee8810d7d6</vt:lpwstr>
  </property>
  <property fmtid="{D5CDD505-2E9C-101B-9397-08002B2CF9AE}" pid="8" name="MSIP_Label_055b6ed3-49d9-4c8b-b721-6e88a1f26c44_ContentBits">
    <vt:lpwstr>2</vt:lpwstr>
  </property>
  <property fmtid="{D5CDD505-2E9C-101B-9397-08002B2CF9AE}" pid="9" name="MSIP_Label_055b6ed3-49d9-4c8b-b721-6e88a1f26c44_Tag">
    <vt:lpwstr>10, 3, 0, 2</vt:lpwstr>
  </property>
</Properties>
</file>